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THE_FILE_repo\THE_FILE_repo\"/>
    </mc:Choice>
  </mc:AlternateContent>
  <xr:revisionPtr revIDLastSave="0" documentId="13_ncr:1_{BE03DA1A-214B-4494-B4AF-0213154CBA1D}" xr6:coauthVersionLast="47" xr6:coauthVersionMax="47" xr10:uidLastSave="{00000000-0000-0000-0000-000000000000}"/>
  <bookViews>
    <workbookView xWindow="-108" yWindow="-108" windowWidth="23256" windowHeight="12456" tabRatio="801" xr2:uid="{D974C509-94BC-4575-BDDC-CF1A84DE47CF}"/>
  </bookViews>
  <sheets>
    <sheet name="THE FILE" sheetId="1" r:id="rId1"/>
    <sheet name="TASKS" sheetId="6" r:id="rId2"/>
    <sheet name="BOOKS" sheetId="7" r:id="rId3"/>
    <sheet name="PROJECTS" sheetId="10" r:id="rId4"/>
    <sheet name="CONFIG" sheetId="9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24" i="1" l="1" a="1"/>
  <c r="L24" i="1" s="1"/>
  <c r="J24" i="1" a="1"/>
  <c r="J24" i="1" s="1"/>
  <c r="L20" i="1" a="1"/>
  <c r="L20" i="1" s="1"/>
  <c r="O9" i="9"/>
  <c r="O8" i="9"/>
  <c r="O7" i="9"/>
  <c r="M3" i="10"/>
  <c r="J3" i="10" a="1"/>
  <c r="J3" i="10" s="1"/>
  <c r="H13" i="10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G14" i="7" l="1"/>
  <c r="G6" i="7"/>
  <c r="L6" i="7"/>
  <c r="G7" i="7"/>
  <c r="G8" i="7"/>
  <c r="G9" i="7"/>
  <c r="G10" i="7"/>
  <c r="G11" i="7"/>
  <c r="G12" i="7"/>
  <c r="G13" i="7"/>
  <c r="H8" i="10"/>
  <c r="H9" i="10"/>
  <c r="H10" i="10"/>
  <c r="H11" i="10"/>
  <c r="H12" i="10"/>
  <c r="L26" i="1" a="1"/>
  <c r="L26" i="1" s="1"/>
  <c r="H7" i="10"/>
  <c r="J3" i="6" a="1"/>
  <c r="J3" i="6" s="1"/>
  <c r="F24" i="1" a="1"/>
  <c r="F24" i="1" s="1"/>
  <c r="F26" i="1" a="1"/>
  <c r="F26" i="1" s="1"/>
  <c r="F20" i="1" a="1"/>
  <c r="F20" i="1" s="1"/>
  <c r="O10" i="1" a="1"/>
  <c r="O10" i="1" s="1"/>
  <c r="J20" i="1"/>
  <c r="O22" i="1"/>
  <c r="S3" i="7"/>
  <c r="K14" i="6" a="1"/>
  <c r="K14" i="6" s="1"/>
  <c r="N11" i="9"/>
  <c r="N9" i="9"/>
  <c r="N8" i="9"/>
  <c r="N7" i="9"/>
  <c r="N13" i="9"/>
  <c r="N12" i="9"/>
  <c r="N10" i="9"/>
  <c r="M3" i="6"/>
  <c r="N6" i="6"/>
  <c r="J8" i="6" s="1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7" i="9"/>
  <c r="N8" i="7"/>
  <c r="B13" i="1"/>
  <c r="J26" i="1" l="1"/>
  <c r="S8" i="7"/>
  <c r="N3" i="7"/>
  <c r="H24" i="1" s="1"/>
  <c r="H20" i="1" l="1"/>
  <c r="H26" i="1"/>
  <c r="T12" i="7"/>
  <c r="O1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<sst xmlns="http://schemas.openxmlformats.org/spreadsheetml/2006/main" count="103" uniqueCount="93">
  <si>
    <t>THE FILE</t>
  </si>
  <si>
    <t>Everything in one place</t>
  </si>
  <si>
    <t>BOOKS</t>
  </si>
  <si>
    <t>★☆☆☆☆</t>
  </si>
  <si>
    <t>★★☆☆☆</t>
  </si>
  <si>
    <t>★★★☆☆</t>
  </si>
  <si>
    <t>★★★★☆</t>
  </si>
  <si>
    <t>★★★★★</t>
  </si>
  <si>
    <t>BOOKS READ</t>
  </si>
  <si>
    <t>PAGES READ</t>
  </si>
  <si>
    <t>Self-Help</t>
  </si>
  <si>
    <t>Productivity</t>
  </si>
  <si>
    <t>Business</t>
  </si>
  <si>
    <t>Finance</t>
  </si>
  <si>
    <t>Psychology</t>
  </si>
  <si>
    <t>Technology</t>
  </si>
  <si>
    <t>Science</t>
  </si>
  <si>
    <t>Philosophy</t>
  </si>
  <si>
    <t>Biography</t>
  </si>
  <si>
    <t>History</t>
  </si>
  <si>
    <t>Politics</t>
  </si>
  <si>
    <t>Health</t>
  </si>
  <si>
    <t>Fiction</t>
  </si>
  <si>
    <t>Fantasy</t>
  </si>
  <si>
    <t>Science Fiction</t>
  </si>
  <si>
    <t>Mystery</t>
  </si>
  <si>
    <t>Thriller</t>
  </si>
  <si>
    <t>Romance</t>
  </si>
  <si>
    <t>Classic</t>
  </si>
  <si>
    <t>Other</t>
  </si>
  <si>
    <t>MY BOOKS</t>
  </si>
  <si>
    <t>RATING</t>
  </si>
  <si>
    <t>GENRES</t>
  </si>
  <si>
    <t>Title</t>
  </si>
  <si>
    <t>Author</t>
  </si>
  <si>
    <t>Genre</t>
  </si>
  <si>
    <t>Status</t>
  </si>
  <si>
    <t>Rating</t>
  </si>
  <si>
    <t>Total pages</t>
  </si>
  <si>
    <t>Current page</t>
  </si>
  <si>
    <t>Pages / day</t>
  </si>
  <si>
    <t>☆☆☆☆☆</t>
  </si>
  <si>
    <t>TOP GENRE</t>
  </si>
  <si>
    <t>Target days</t>
  </si>
  <si>
    <t>No genre</t>
  </si>
  <si>
    <t>PROGRESS BAR</t>
  </si>
  <si>
    <t>% COMPLETED</t>
  </si>
  <si>
    <t>REMAINING PAGES</t>
  </si>
  <si>
    <t>READING GOAL (BOOKS):</t>
  </si>
  <si>
    <t>MY TASKS</t>
  </si>
  <si>
    <t>WEEKLY TASKS</t>
  </si>
  <si>
    <t>Task</t>
  </si>
  <si>
    <t>Category</t>
  </si>
  <si>
    <t>Priority</t>
  </si>
  <si>
    <t>Due day</t>
  </si>
  <si>
    <t>Done</t>
  </si>
  <si>
    <t>Personal</t>
  </si>
  <si>
    <t>Study</t>
  </si>
  <si>
    <t>Work</t>
  </si>
  <si>
    <t>Home</t>
  </si>
  <si>
    <t>Categories</t>
  </si>
  <si>
    <t>Priorities</t>
  </si>
  <si>
    <t>Low</t>
  </si>
  <si>
    <t>Medium</t>
  </si>
  <si>
    <t>High</t>
  </si>
  <si>
    <t>Pending</t>
  </si>
  <si>
    <t>In Progress</t>
  </si>
  <si>
    <t>Mon</t>
  </si>
  <si>
    <t>Tue</t>
  </si>
  <si>
    <t>Wed</t>
  </si>
  <si>
    <t>Thu</t>
  </si>
  <si>
    <t>Fri</t>
  </si>
  <si>
    <t>Sat</t>
  </si>
  <si>
    <t>Sun</t>
  </si>
  <si>
    <t>WEEKLY PROGRESS</t>
  </si>
  <si>
    <t>TASKS BY CATEGORY</t>
  </si>
  <si>
    <t>Completed</t>
  </si>
  <si>
    <t>Projects Overview</t>
  </si>
  <si>
    <t>Project / Goal</t>
  </si>
  <si>
    <t>Due date</t>
  </si>
  <si>
    <t>Notes</t>
  </si>
  <si>
    <t>Overall Progress</t>
  </si>
  <si>
    <t>%</t>
  </si>
  <si>
    <t>Progress bar</t>
  </si>
  <si>
    <t>Priority Breakdown</t>
  </si>
  <si>
    <t>Chart 1</t>
  </si>
  <si>
    <t>Chart 2</t>
  </si>
  <si>
    <t>Current Projects</t>
  </si>
  <si>
    <t>MY PROJECTS</t>
  </si>
  <si>
    <t>TASKS DONE</t>
  </si>
  <si>
    <t>PROJECTS PROGRESS</t>
  </si>
  <si>
    <t>FINISHED PROJECTS</t>
  </si>
  <si>
    <t>TASKS /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</si>
</sst>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Aptos Narrow"/>
      <family val="2"/>
      <scheme val="minor"/>
    </font>
    <font>
      <sz val="28"/>
      <color theme="1"/>
      <name val="Bahnschrift Condensed"/>
      <family val="2"/>
    </font>
    <font>
      <sz val="12"/>
      <color theme="1"/>
      <name val="Bahnschrift"/>
      <family val="2"/>
    </font>
    <font>
      <b/>
      <sz val="12"/>
      <color theme="1"/>
      <name val="Bahnschrift"/>
      <family val="2"/>
    </font>
    <font>
      <sz val="48"/>
      <color rgb="FFE7E8E9"/>
      <name val="Bahnschrift Condensed"/>
      <family val="2"/>
    </font>
    <font>
      <sz val="12"/>
      <color rgb="FF5191D2"/>
      <name val="Bahnschrift"/>
      <family val="2"/>
    </font>
    <font>
      <sz val="12"/>
      <color rgb="FFE7E8E9"/>
      <name val="Bahnschrift"/>
      <family val="2"/>
    </font>
    <font>
      <sz val="11"/>
      <color rgb="FFE7E8E9"/>
      <name val="Aptos Narrow"/>
      <family val="2"/>
      <scheme val="minor"/>
    </font>
    <font>
      <sz val="12"/>
      <color rgb="FFE7E8E9"/>
      <name val="Bahnschrift SemiBold Condensed"/>
      <family val="2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E7E8E9"/>
      <name val="Bahnschrift Condensed"/>
      <family val="2"/>
    </font>
    <font>
      <sz val="12"/>
      <color rgb="FFE7E8E9"/>
      <name val="Bahnschrift Condensed"/>
      <family val="2"/>
    </font>
    <font>
      <sz val="14"/>
      <color rgb="FFE7E8E9"/>
      <name val="Bahnschrift Condensed"/>
      <family val="2"/>
    </font>
    <font>
      <sz val="14"/>
      <color rgb="FFE7E8E9"/>
      <name val="Aptos Narrow"/>
      <family val="2"/>
      <scheme val="minor"/>
    </font>
    <font>
      <sz val="28"/>
      <color rgb="FFE7E8E9"/>
      <name val="Bahnschrift Condensed"/>
      <family val="2"/>
    </font>
    <font>
      <sz val="11"/>
      <color rgb="FF5191D2"/>
      <name val="Bahnschrift"/>
      <family val="2"/>
    </font>
    <font>
      <sz val="20"/>
      <color rgb="FFE7E8E9"/>
      <name val="Bahnschrift Condensed"/>
      <family val="2"/>
    </font>
    <font>
      <sz val="14"/>
      <color rgb="FF9B7FD4"/>
      <name val="Bahnschrift Condensed"/>
      <family val="2"/>
    </font>
    <font>
      <sz val="11"/>
      <color rgb="FFE7E8E9"/>
      <name val="Bahnschrift Condensed"/>
      <family val="2"/>
    </font>
    <font>
      <b/>
      <sz val="14"/>
      <color rgb="FF23282E"/>
      <name val="Bahnschrift Condensed"/>
      <family val="2"/>
    </font>
    <font>
      <sz val="28"/>
      <color theme="0"/>
      <name val="Bahnschrift Condensed"/>
      <family val="2"/>
    </font>
    <font>
      <sz val="16"/>
      <color theme="0"/>
      <name val="Bahnschrift Condensed"/>
      <family val="2"/>
    </font>
    <font>
      <sz val="12"/>
      <color theme="0"/>
      <name val="Bahnschrift Light Condensed"/>
      <family val="2"/>
    </font>
    <font>
      <sz val="16"/>
      <color theme="0"/>
      <name val="Bahnschrift Light Condensed"/>
      <family val="2"/>
    </font>
    <font>
      <sz val="11"/>
      <color theme="1"/>
      <name val="Bahnschrift Condensed"/>
      <family val="2"/>
    </font>
    <font>
      <sz val="11"/>
      <color theme="1"/>
      <name val="Aptos Narrow"/>
      <family val="2"/>
      <scheme val="minor"/>
    </font>
    <font>
      <sz val="22"/>
      <color rgb="FFE7E8E9"/>
      <name val="Bahnschrift Condensed"/>
      <family val="2"/>
    </font>
    <font>
      <b/>
      <sz val="12"/>
      <color rgb="FF23282E"/>
      <name val="Bahnschrift Condensed"/>
      <family val="2"/>
    </font>
    <font>
      <sz val="26"/>
      <color rgb="FFE7E8E9"/>
      <name val="Bahnschrift Condensed"/>
      <family val="2"/>
    </font>
    <font>
      <b/>
      <sz val="18"/>
      <color rgb="FF00B050"/>
      <name val="Bahnschrift Condensed"/>
      <family val="2"/>
    </font>
    <font>
      <sz val="16"/>
      <color rgb="FF00B050"/>
      <name val="Bahnschrift Condensed"/>
      <family val="2"/>
    </font>
    <font>
      <sz val="18"/>
      <color theme="1"/>
      <name val="Bahnschrift Condensed"/>
      <family val="2"/>
    </font>
    <font>
      <sz val="18"/>
      <color rgb="FFE7E8E9"/>
      <name val="Bahnschrift Condensed"/>
      <family val="2"/>
    </font>
    <font>
      <sz val="15"/>
      <color rgb="FFE7E8E9"/>
      <name val="Bahnschrift Condensed"/>
      <family val="2"/>
    </font>
    <font>
      <sz val="12"/>
      <color theme="1"/>
      <name val="Bahnschrift Condensed"/>
      <family val="2"/>
    </font>
    <font>
      <sz val="20"/>
      <color rgb="FF00B050"/>
      <name val="Bahnschrift Condensed"/>
      <family val="2"/>
    </font>
    <font>
      <b/>
      <sz val="12"/>
      <color rgb="FF1D2227"/>
      <name val="Bahnschrift Condensed"/>
      <family val="2"/>
    </font>
    <font>
      <sz val="36"/>
      <color rgb="FFE7E8E9"/>
      <name val="Bahnschrift Condensed"/>
      <family val="2"/>
    </font>
    <font>
      <b/>
      <sz val="24"/>
      <color rgb="FF00B050"/>
      <name val="Bahnschrift Condensed"/>
      <family val="2"/>
    </font>
    <font>
      <b/>
      <sz val="18"/>
      <color rgb="FF4D8CFF"/>
      <name val="Bahnschrift Condensed"/>
      <family val="2"/>
    </font>
    <font>
      <b/>
      <sz val="16"/>
      <color rgb="FFE7E8E9"/>
      <name val="Bahnschrift Condensed"/>
      <family val="2"/>
    </font>
    <font>
      <sz val="18"/>
      <color rgb="FF00B050"/>
      <name val="Bahnschrift Condensed"/>
      <family val="2"/>
    </font>
    <font>
      <sz val="24"/>
      <color rgb="FFE7E8E9"/>
      <name val="Bahnschrift Condensed"/>
      <family val="2"/>
    </font>
    <font>
      <b/>
      <sz val="22"/>
      <color rgb="FF4D8CFF"/>
      <name val="Bahnschrift Condensed"/>
      <family val="2"/>
    </font>
    <font>
      <b/>
      <sz val="22"/>
      <color rgb="FFF1C40F"/>
      <name val="Bahnschrift Condensed"/>
      <family val="2"/>
    </font>
    <font>
      <sz val="22"/>
      <color rgb="FFE7E8E9"/>
      <name val="Bahnschrift SemiBold Condensed"/>
      <family val="2"/>
    </font>
    <font>
      <b/>
      <sz val="22"/>
      <color rgb="FFE7E8E9"/>
      <name val="Bahnschrift SemiBold Condensed"/>
      <family val="2"/>
    </font>
    <font>
      <sz val="14"/>
      <color rgb="FF4D8CFF"/>
      <name val="Bahnschrift Condensed"/>
      <family val="2"/>
    </font>
    <font>
      <sz val="14"/>
      <color rgb="FF5DBB8A"/>
      <name val="Bahnschrift Condensed"/>
      <family val="2"/>
    </font>
    <font>
      <sz val="14"/>
      <color rgb="FFF1C40F"/>
      <name val="Bahnschrift Condensed"/>
      <family val="2"/>
    </font>
  </fonts>
  <fills count="9">
    <fill>
      <patternFill patternType="none"/>
    </fill>
    <fill>
      <patternFill patternType="gray125"/>
    </fill>
    <fill>
      <patternFill patternType="solid">
        <fgColor rgb="FF1D2227"/>
        <bgColor indexed="64"/>
      </patternFill>
    </fill>
    <fill>
      <patternFill patternType="solid">
        <fgColor rgb="FF23282E"/>
        <bgColor indexed="64"/>
      </patternFill>
    </fill>
    <fill>
      <patternFill patternType="solid">
        <fgColor rgb="FFE7E8E9"/>
        <bgColor indexed="64"/>
      </patternFill>
    </fill>
    <fill>
      <patternFill patternType="solid">
        <fgColor rgb="FF7AB17A"/>
        <bgColor indexed="64"/>
      </patternFill>
    </fill>
    <fill>
      <patternFill patternType="solid">
        <fgColor rgb="FFEDC73B"/>
        <bgColor indexed="64"/>
      </patternFill>
    </fill>
    <fill>
      <patternFill patternType="solid">
        <fgColor rgb="FF9B7FD4"/>
        <bgColor indexed="64"/>
      </patternFill>
    </fill>
    <fill>
      <patternFill patternType="solid">
        <fgColor rgb="FF303740"/>
        <bgColor indexed="64"/>
      </patternFill>
    </fill>
  </fills>
  <borders count="79">
    <border>
      <left/>
      <right/>
      <top/>
      <bottom/>
      <diagonal/>
    </border>
    <border>
      <left style="thick">
        <color rgb="FFE7E8E9"/>
      </left>
      <right style="thick">
        <color rgb="FFE7E8E9"/>
      </right>
      <top style="thick">
        <color rgb="FFE7E8E9"/>
      </top>
      <bottom style="thick">
        <color rgb="FFE7E8E9"/>
      </bottom>
      <diagonal/>
    </border>
    <border>
      <left style="medium">
        <color rgb="FFE7E8E9"/>
      </left>
      <right style="medium">
        <color rgb="FFE7E8E9"/>
      </right>
      <top style="medium">
        <color rgb="FFE7E8E9"/>
      </top>
      <bottom style="medium">
        <color rgb="FFE7E8E9"/>
      </bottom>
      <diagonal/>
    </border>
    <border>
      <left style="thick">
        <color rgb="FFE7E8E9"/>
      </left>
      <right style="thick">
        <color rgb="FFE7E8E9"/>
      </right>
      <top/>
      <bottom style="thick">
        <color rgb="FFE7E8E9"/>
      </bottom>
      <diagonal/>
    </border>
    <border>
      <left/>
      <right/>
      <top style="thick">
        <color rgb="FFE7E8E9"/>
      </top>
      <bottom style="thick">
        <color rgb="FFE7E8E9"/>
      </bottom>
      <diagonal/>
    </border>
    <border>
      <left/>
      <right style="thick">
        <color rgb="FFE7E8E9"/>
      </right>
      <top style="thick">
        <color rgb="FFE7E8E9"/>
      </top>
      <bottom style="thick">
        <color rgb="FFE7E8E9"/>
      </bottom>
      <diagonal/>
    </border>
    <border>
      <left style="thick">
        <color rgb="FFE7E8E9"/>
      </left>
      <right/>
      <top style="thick">
        <color rgb="FFE7E8E9"/>
      </top>
      <bottom style="thick">
        <color rgb="FFE7E8E9"/>
      </bottom>
      <diagonal/>
    </border>
    <border>
      <left style="medium">
        <color rgb="FFE7E8E9"/>
      </left>
      <right/>
      <top style="medium">
        <color rgb="FFE7E8E9"/>
      </top>
      <bottom/>
      <diagonal/>
    </border>
    <border>
      <left/>
      <right/>
      <top style="medium">
        <color rgb="FFE7E8E9"/>
      </top>
      <bottom/>
      <diagonal/>
    </border>
    <border>
      <left/>
      <right style="medium">
        <color rgb="FFE7E8E9"/>
      </right>
      <top style="medium">
        <color rgb="FFE7E8E9"/>
      </top>
      <bottom/>
      <diagonal/>
    </border>
    <border>
      <left style="medium">
        <color rgb="FFE7E8E9"/>
      </left>
      <right/>
      <top/>
      <bottom style="medium">
        <color rgb="FFE7E8E9"/>
      </bottom>
      <diagonal/>
    </border>
    <border>
      <left/>
      <right/>
      <top/>
      <bottom style="medium">
        <color rgb="FFE7E8E9"/>
      </bottom>
      <diagonal/>
    </border>
    <border>
      <left/>
      <right style="medium">
        <color rgb="FFE7E8E9"/>
      </right>
      <top/>
      <bottom style="medium">
        <color rgb="FFE7E8E9"/>
      </bottom>
      <diagonal/>
    </border>
    <border>
      <left style="medium">
        <color rgb="FFE7E8E9"/>
      </left>
      <right style="medium">
        <color rgb="FFE7E8E9"/>
      </right>
      <top/>
      <bottom style="medium">
        <color rgb="FFE7E8E9"/>
      </bottom>
      <diagonal/>
    </border>
    <border>
      <left style="medium">
        <color rgb="FFE7E8E9"/>
      </left>
      <right/>
      <top/>
      <bottom/>
      <diagonal/>
    </border>
    <border>
      <left/>
      <right style="medium">
        <color rgb="FFE7E8E9"/>
      </right>
      <top/>
      <bottom/>
      <diagonal/>
    </border>
    <border>
      <left style="medium">
        <color rgb="FFE7E8E9"/>
      </left>
      <right/>
      <top style="medium">
        <color rgb="FFE7E8E9"/>
      </top>
      <bottom style="medium">
        <color rgb="FFE7E8E9"/>
      </bottom>
      <diagonal/>
    </border>
    <border>
      <left/>
      <right/>
      <top style="medium">
        <color rgb="FFE7E8E9"/>
      </top>
      <bottom style="medium">
        <color rgb="FFE7E8E9"/>
      </bottom>
      <diagonal/>
    </border>
    <border>
      <left/>
      <right style="medium">
        <color rgb="FFE7E8E9"/>
      </right>
      <top style="medium">
        <color rgb="FFE7E8E9"/>
      </top>
      <bottom style="medium">
        <color rgb="FFE7E8E9"/>
      </bottom>
      <diagonal/>
    </border>
    <border>
      <left style="medium">
        <color rgb="FFEDC73B"/>
      </left>
      <right/>
      <top style="medium">
        <color rgb="FFEDC73B"/>
      </top>
      <bottom style="medium">
        <color rgb="FFEDC73B"/>
      </bottom>
      <diagonal/>
    </border>
    <border>
      <left/>
      <right style="medium">
        <color rgb="FFEDC73B"/>
      </right>
      <top style="medium">
        <color rgb="FFEDC73B"/>
      </top>
      <bottom style="medium">
        <color rgb="FFEDC73B"/>
      </bottom>
      <diagonal/>
    </border>
    <border>
      <left style="medium">
        <color rgb="FF7AB17A"/>
      </left>
      <right/>
      <top style="medium">
        <color rgb="FF7AB17A"/>
      </top>
      <bottom style="medium">
        <color rgb="FF7AB17A"/>
      </bottom>
      <diagonal/>
    </border>
    <border>
      <left/>
      <right style="medium">
        <color rgb="FF7AB17A"/>
      </right>
      <top style="medium">
        <color rgb="FF7AB17A"/>
      </top>
      <bottom style="medium">
        <color rgb="FF7AB17A"/>
      </bottom>
      <diagonal/>
    </border>
    <border>
      <left style="medium">
        <color rgb="FF7AB17A"/>
      </left>
      <right/>
      <top style="medium">
        <color rgb="FF7AB17A"/>
      </top>
      <bottom/>
      <diagonal/>
    </border>
    <border>
      <left/>
      <right style="medium">
        <color rgb="FF7AB17A"/>
      </right>
      <top style="medium">
        <color rgb="FF7AB17A"/>
      </top>
      <bottom/>
      <diagonal/>
    </border>
    <border>
      <left style="medium">
        <color rgb="FF7AB17A"/>
      </left>
      <right/>
      <top/>
      <bottom/>
      <diagonal/>
    </border>
    <border>
      <left/>
      <right style="medium">
        <color rgb="FF7AB17A"/>
      </right>
      <top/>
      <bottom/>
      <diagonal/>
    </border>
    <border>
      <left style="medium">
        <color rgb="FF7AB17A"/>
      </left>
      <right/>
      <top/>
      <bottom style="medium">
        <color rgb="FF7AB17A"/>
      </bottom>
      <diagonal/>
    </border>
    <border>
      <left/>
      <right style="medium">
        <color rgb="FF7AB17A"/>
      </right>
      <top/>
      <bottom style="medium">
        <color rgb="FF7AB17A"/>
      </bottom>
      <diagonal/>
    </border>
    <border>
      <left style="medium">
        <color rgb="FFEDC73B"/>
      </left>
      <right/>
      <top style="medium">
        <color rgb="FFEDC73B"/>
      </top>
      <bottom/>
      <diagonal/>
    </border>
    <border>
      <left/>
      <right style="medium">
        <color rgb="FFEDC73B"/>
      </right>
      <top style="medium">
        <color rgb="FFEDC73B"/>
      </top>
      <bottom/>
      <diagonal/>
    </border>
    <border>
      <left style="medium">
        <color rgb="FFEDC73B"/>
      </left>
      <right/>
      <top/>
      <bottom style="medium">
        <color rgb="FFEDC73B"/>
      </bottom>
      <diagonal/>
    </border>
    <border>
      <left/>
      <right style="medium">
        <color rgb="FFEDC73B"/>
      </right>
      <top/>
      <bottom style="medium">
        <color rgb="FFEDC73B"/>
      </bottom>
      <diagonal/>
    </border>
    <border>
      <left style="medium">
        <color rgb="FF9B7FD4"/>
      </left>
      <right/>
      <top style="medium">
        <color rgb="FF9B7FD4"/>
      </top>
      <bottom style="medium">
        <color rgb="FF9B7FD4"/>
      </bottom>
      <diagonal/>
    </border>
    <border>
      <left/>
      <right style="medium">
        <color rgb="FF9B7FD4"/>
      </right>
      <top style="medium">
        <color rgb="FF9B7FD4"/>
      </top>
      <bottom style="medium">
        <color rgb="FF9B7FD4"/>
      </bottom>
      <diagonal/>
    </border>
    <border>
      <left style="medium">
        <color rgb="FF9B7FD4"/>
      </left>
      <right/>
      <top style="medium">
        <color rgb="FF9B7FD4"/>
      </top>
      <bottom/>
      <diagonal/>
    </border>
    <border>
      <left/>
      <right style="medium">
        <color rgb="FF9B7FD4"/>
      </right>
      <top style="medium">
        <color rgb="FF9B7FD4"/>
      </top>
      <bottom/>
      <diagonal/>
    </border>
    <border>
      <left style="medium">
        <color rgb="FF9B7FD4"/>
      </left>
      <right/>
      <top/>
      <bottom style="medium">
        <color rgb="FF9B7FD4"/>
      </bottom>
      <diagonal/>
    </border>
    <border>
      <left/>
      <right style="medium">
        <color rgb="FF9B7FD4"/>
      </right>
      <top/>
      <bottom style="medium">
        <color rgb="FF9B7FD4"/>
      </bottom>
      <diagonal/>
    </border>
    <border>
      <left style="medium">
        <color rgb="FFE7E8E9"/>
      </left>
      <right style="medium">
        <color rgb="FFE7E8E9"/>
      </right>
      <top/>
      <bottom/>
      <diagonal/>
    </border>
    <border>
      <left style="thin">
        <color rgb="FFE7E8E9"/>
      </left>
      <right style="thin">
        <color rgb="FFE7E8E9"/>
      </right>
      <top style="thin">
        <color rgb="FFE7E8E9"/>
      </top>
      <bottom style="thin">
        <color rgb="FFE7E8E9"/>
      </bottom>
      <diagonal/>
    </border>
    <border>
      <left style="medium">
        <color rgb="FFE7E8E9"/>
      </left>
      <right style="medium">
        <color rgb="FFE7E8E9"/>
      </right>
      <top style="medium">
        <color rgb="FFE7E8E9"/>
      </top>
      <bottom/>
      <diagonal/>
    </border>
    <border>
      <left style="medium">
        <color rgb="FFE7E8E9"/>
      </left>
      <right style="thin">
        <color rgb="FFE7E8E9"/>
      </right>
      <top style="thin">
        <color rgb="FFE7E8E9"/>
      </top>
      <bottom style="thin">
        <color rgb="FFE7E8E9"/>
      </bottom>
      <diagonal/>
    </border>
    <border>
      <left style="thin">
        <color rgb="FFE7E8E9"/>
      </left>
      <right style="medium">
        <color rgb="FFE7E8E9"/>
      </right>
      <top style="thin">
        <color rgb="FFE7E8E9"/>
      </top>
      <bottom style="thin">
        <color rgb="FFE7E8E9"/>
      </bottom>
      <diagonal/>
    </border>
    <border>
      <left style="medium">
        <color rgb="FFE7E8E9"/>
      </left>
      <right style="thin">
        <color rgb="FFE7E8E9"/>
      </right>
      <top style="thin">
        <color rgb="FFE7E8E9"/>
      </top>
      <bottom style="medium">
        <color rgb="FFE7E8E9"/>
      </bottom>
      <diagonal/>
    </border>
    <border>
      <left style="thin">
        <color rgb="FFE7E8E9"/>
      </left>
      <right style="thin">
        <color rgb="FFE7E8E9"/>
      </right>
      <top style="thin">
        <color rgb="FFE7E8E9"/>
      </top>
      <bottom style="medium">
        <color rgb="FFE7E8E9"/>
      </bottom>
      <diagonal/>
    </border>
    <border>
      <left style="thin">
        <color rgb="FFE7E8E9"/>
      </left>
      <right style="medium">
        <color rgb="FFE7E8E9"/>
      </right>
      <top style="thin">
        <color rgb="FFE7E8E9"/>
      </top>
      <bottom style="medium">
        <color rgb="FFE7E8E9"/>
      </bottom>
      <diagonal/>
    </border>
    <border>
      <left style="thin">
        <color rgb="FFE7E8E9"/>
      </left>
      <right style="medium">
        <color rgb="FFE7E8E9"/>
      </right>
      <top style="medium">
        <color rgb="FFE7E8E9"/>
      </top>
      <bottom/>
      <diagonal/>
    </border>
    <border>
      <left style="medium">
        <color rgb="FFF1C40F"/>
      </left>
      <right/>
      <top style="medium">
        <color rgb="FFF1C40F"/>
      </top>
      <bottom/>
      <diagonal/>
    </border>
    <border>
      <left/>
      <right style="medium">
        <color rgb="FFF1C40F"/>
      </right>
      <top style="medium">
        <color rgb="FFF1C40F"/>
      </top>
      <bottom/>
      <diagonal/>
    </border>
    <border>
      <left style="medium">
        <color rgb="FFF1C40F"/>
      </left>
      <right/>
      <top/>
      <bottom style="medium">
        <color rgb="FFF1C40F"/>
      </bottom>
      <diagonal/>
    </border>
    <border>
      <left/>
      <right style="medium">
        <color rgb="FFF1C40F"/>
      </right>
      <top/>
      <bottom style="medium">
        <color rgb="FFF1C40F"/>
      </bottom>
      <diagonal/>
    </border>
    <border>
      <left style="medium">
        <color rgb="FFF1C40F"/>
      </left>
      <right/>
      <top/>
      <bottom/>
      <diagonal/>
    </border>
    <border>
      <left/>
      <right style="medium">
        <color rgb="FFF1C40F"/>
      </right>
      <top/>
      <bottom/>
      <diagonal/>
    </border>
    <border>
      <left style="medium">
        <color rgb="FF4D8CFF"/>
      </left>
      <right/>
      <top style="medium">
        <color rgb="FF4D8CFF"/>
      </top>
      <bottom/>
      <diagonal/>
    </border>
    <border>
      <left/>
      <right style="medium">
        <color rgb="FF4D8CFF"/>
      </right>
      <top style="medium">
        <color rgb="FF4D8CFF"/>
      </top>
      <bottom/>
      <diagonal/>
    </border>
    <border>
      <left style="medium">
        <color rgb="FF4D8CFF"/>
      </left>
      <right/>
      <top/>
      <bottom/>
      <diagonal/>
    </border>
    <border>
      <left/>
      <right style="medium">
        <color rgb="FF4D8CFF"/>
      </right>
      <top/>
      <bottom/>
      <diagonal/>
    </border>
    <border>
      <left style="medium">
        <color rgb="FF4D8CFF"/>
      </left>
      <right/>
      <top/>
      <bottom style="medium">
        <color rgb="FF4D8CFF"/>
      </bottom>
      <diagonal/>
    </border>
    <border>
      <left/>
      <right style="medium">
        <color rgb="FF4D8CFF"/>
      </right>
      <top/>
      <bottom style="medium">
        <color rgb="FF4D8CFF"/>
      </bottom>
      <diagonal/>
    </border>
    <border>
      <left style="medium">
        <color rgb="FFE7E8E9"/>
      </left>
      <right style="thin">
        <color rgb="FFE7E8E9"/>
      </right>
      <top style="medium">
        <color rgb="FFE7E8E9"/>
      </top>
      <bottom style="thin">
        <color rgb="FFE7E8E9"/>
      </bottom>
      <diagonal/>
    </border>
    <border>
      <left style="thin">
        <color rgb="FFE7E8E9"/>
      </left>
      <right style="thin">
        <color rgb="FFE7E8E9"/>
      </right>
      <top style="medium">
        <color rgb="FFE7E8E9"/>
      </top>
      <bottom style="thin">
        <color rgb="FFE7E8E9"/>
      </bottom>
      <diagonal/>
    </border>
    <border>
      <left style="thin">
        <color rgb="FFE7E8E9"/>
      </left>
      <right style="medium">
        <color rgb="FFE7E8E9"/>
      </right>
      <top style="medium">
        <color rgb="FFE7E8E9"/>
      </top>
      <bottom style="thin">
        <color rgb="FFE7E8E9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4D8CFF"/>
      </left>
      <right style="medium">
        <color rgb="FF4D8CFF"/>
      </right>
      <top style="medium">
        <color rgb="FF4D8CFF"/>
      </top>
      <bottom/>
      <diagonal/>
    </border>
    <border>
      <left style="medium">
        <color rgb="FF4D8CFF"/>
      </left>
      <right style="medium">
        <color rgb="FF4D8CFF"/>
      </right>
      <top/>
      <bottom/>
      <diagonal/>
    </border>
    <border>
      <left style="medium">
        <color rgb="FF4D8CFF"/>
      </left>
      <right style="medium">
        <color rgb="FF4D8CFF"/>
      </right>
      <top/>
      <bottom style="medium">
        <color rgb="FF4D8CFF"/>
      </bottom>
      <diagonal/>
    </border>
    <border>
      <left style="medium">
        <color rgb="FF5DBB8A"/>
      </left>
      <right style="medium">
        <color rgb="FF5DBB8A"/>
      </right>
      <top style="medium">
        <color rgb="FF5DBB8A"/>
      </top>
      <bottom/>
      <diagonal/>
    </border>
    <border>
      <left style="medium">
        <color rgb="FF5DBB8A"/>
      </left>
      <right style="medium">
        <color rgb="FF5DBB8A"/>
      </right>
      <top/>
      <bottom/>
      <diagonal/>
    </border>
    <border>
      <left style="medium">
        <color rgb="FF5DBB8A"/>
      </left>
      <right style="medium">
        <color rgb="FF5DBB8A"/>
      </right>
      <top/>
      <bottom style="medium">
        <color rgb="FF5DBB8A"/>
      </bottom>
      <diagonal/>
    </border>
    <border>
      <left style="medium">
        <color rgb="FF9B7FD4"/>
      </left>
      <right style="medium">
        <color rgb="FF9B7FD4"/>
      </right>
      <top style="medium">
        <color rgb="FF9B7FD4"/>
      </top>
      <bottom/>
      <diagonal/>
    </border>
    <border>
      <left style="medium">
        <color rgb="FF9B7FD4"/>
      </left>
      <right style="medium">
        <color rgb="FF9B7FD4"/>
      </right>
      <top/>
      <bottom/>
      <diagonal/>
    </border>
    <border>
      <left style="medium">
        <color rgb="FF9B7FD4"/>
      </left>
      <right style="medium">
        <color rgb="FF9B7FD4"/>
      </right>
      <top/>
      <bottom style="medium">
        <color rgb="FF9B7FD4"/>
      </bottom>
      <diagonal/>
    </border>
    <border>
      <left style="medium">
        <color rgb="FFF1C40F"/>
      </left>
      <right style="medium">
        <color rgb="FFF1C40F"/>
      </right>
      <top style="medium">
        <color rgb="FFF1C40F"/>
      </top>
      <bottom/>
      <diagonal/>
    </border>
    <border>
      <left style="medium">
        <color rgb="FFF1C40F"/>
      </left>
      <right style="medium">
        <color rgb="FFF1C40F"/>
      </right>
      <top/>
      <bottom/>
      <diagonal/>
    </border>
    <border>
      <left style="medium">
        <color rgb="FFF1C40F"/>
      </left>
      <right style="medium">
        <color rgb="FFF1C40F"/>
      </right>
      <top/>
      <bottom style="medium">
        <color rgb="FFF1C40F"/>
      </bottom>
      <diagonal/>
    </border>
  </borders>
  <cellStyleXfs count="2">
    <xf numFmtId="0" fontId="0" fillId="0" borderId="0"/>
    <xf numFmtId="9" fontId="26" fillId="0" borderId="0" applyFont="0" applyFill="0" applyBorder="0" applyAlignment="0" applyProtection="0"/>
  </cellStyleXfs>
  <cellXfs count="215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6" fillId="2" borderId="0" xfId="0" applyFont="1" applyFill="1"/>
    <xf numFmtId="0" fontId="7" fillId="2" borderId="0" xfId="0" applyFont="1" applyFill="1"/>
    <xf numFmtId="0" fontId="9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3" fillId="2" borderId="0" xfId="0" applyFont="1" applyFill="1"/>
    <xf numFmtId="0" fontId="14" fillId="2" borderId="0" xfId="0" applyFont="1" applyFill="1"/>
    <xf numFmtId="0" fontId="22" fillId="2" borderId="2" xfId="0" applyFont="1" applyFill="1" applyBorder="1" applyAlignment="1">
      <alignment horizontal="center" vertical="center" wrapText="1"/>
    </xf>
    <xf numFmtId="0" fontId="19" fillId="2" borderId="0" xfId="0" applyFont="1" applyFill="1"/>
    <xf numFmtId="0" fontId="25" fillId="2" borderId="0" xfId="0" applyFont="1" applyFill="1"/>
    <xf numFmtId="0" fontId="19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 vertical="center" wrapText="1"/>
    </xf>
    <xf numFmtId="17" fontId="12" fillId="2" borderId="0" xfId="0" quotePrefix="1" applyNumberFormat="1" applyFont="1" applyFill="1" applyAlignment="1">
      <alignment horizontal="left" vertical="center" wrapText="1"/>
    </xf>
    <xf numFmtId="0" fontId="12" fillId="2" borderId="0" xfId="0" quotePrefix="1" applyFont="1" applyFill="1" applyAlignment="1">
      <alignment horizontal="left" vertical="center" wrapText="1"/>
    </xf>
    <xf numFmtId="9" fontId="27" fillId="2" borderId="1" xfId="1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vertical="center" wrapText="1"/>
    </xf>
    <xf numFmtId="0" fontId="23" fillId="2" borderId="2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1" fontId="23" fillId="2" borderId="13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0" fillId="2" borderId="15" xfId="0" applyFill="1" applyBorder="1"/>
    <xf numFmtId="0" fontId="0" fillId="2" borderId="14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29" fillId="2" borderId="0" xfId="0" applyFont="1" applyFill="1" applyAlignment="1">
      <alignment vertical="center"/>
    </xf>
    <xf numFmtId="0" fontId="34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37" fillId="2" borderId="0" xfId="0" applyFont="1" applyFill="1" applyAlignment="1">
      <alignment horizontal="center" vertical="center"/>
    </xf>
    <xf numFmtId="0" fontId="12" fillId="2" borderId="0" xfId="0" applyFont="1" applyFill="1"/>
    <xf numFmtId="0" fontId="33" fillId="2" borderId="0" xfId="0" applyFont="1" applyFill="1" applyAlignment="1">
      <alignment vertical="center"/>
    </xf>
    <xf numFmtId="0" fontId="32" fillId="2" borderId="0" xfId="0" applyFont="1" applyFill="1" applyAlignment="1">
      <alignment vertical="center"/>
    </xf>
    <xf numFmtId="0" fontId="41" fillId="2" borderId="60" xfId="0" applyFont="1" applyFill="1" applyBorder="1" applyAlignment="1">
      <alignment horizontal="center" vertical="center"/>
    </xf>
    <xf numFmtId="0" fontId="41" fillId="2" borderId="61" xfId="0" applyFont="1" applyFill="1" applyBorder="1" applyAlignment="1">
      <alignment horizontal="center" vertical="center"/>
    </xf>
    <xf numFmtId="0" fontId="41" fillId="2" borderId="41" xfId="0" applyFont="1" applyFill="1" applyBorder="1" applyAlignment="1">
      <alignment horizontal="center" vertical="center"/>
    </xf>
    <xf numFmtId="0" fontId="41" fillId="2" borderId="7" xfId="0" applyFont="1" applyFill="1" applyBorder="1" applyAlignment="1">
      <alignment horizontal="center" vertical="center"/>
    </xf>
    <xf numFmtId="0" fontId="41" fillId="2" borderId="47" xfId="0" applyFont="1" applyFill="1" applyBorder="1" applyAlignment="1">
      <alignment horizontal="center" vertical="center"/>
    </xf>
    <xf numFmtId="0" fontId="41" fillId="2" borderId="62" xfId="0" applyFont="1" applyFill="1" applyBorder="1" applyAlignment="1">
      <alignment horizontal="center" vertical="center"/>
    </xf>
    <xf numFmtId="9" fontId="37" fillId="2" borderId="40" xfId="0" applyNumberFormat="1" applyFont="1" applyFill="1" applyBorder="1" applyAlignment="1">
      <alignment horizontal="center" vertical="center"/>
    </xf>
    <xf numFmtId="0" fontId="42" fillId="2" borderId="0" xfId="0" applyFont="1" applyFill="1"/>
    <xf numFmtId="0" fontId="42" fillId="2" borderId="0" xfId="0" applyFont="1" applyFill="1" applyAlignment="1">
      <alignment vertical="top"/>
    </xf>
    <xf numFmtId="9" fontId="37" fillId="8" borderId="40" xfId="0" applyNumberFormat="1" applyFont="1" applyFill="1" applyBorder="1" applyAlignment="1">
      <alignment horizontal="center" vertical="center"/>
    </xf>
    <xf numFmtId="0" fontId="46" fillId="2" borderId="0" xfId="0" applyFont="1" applyFill="1" applyAlignment="1">
      <alignment vertical="center"/>
    </xf>
    <xf numFmtId="0" fontId="12" fillId="2" borderId="72" xfId="0" applyFont="1" applyFill="1" applyBorder="1" applyAlignment="1">
      <alignment horizontal="center" vertical="top"/>
    </xf>
    <xf numFmtId="0" fontId="12" fillId="2" borderId="78" xfId="0" applyFont="1" applyFill="1" applyBorder="1" applyAlignment="1">
      <alignment horizontal="center" vertical="top"/>
    </xf>
    <xf numFmtId="0" fontId="48" fillId="2" borderId="67" xfId="0" applyFont="1" applyFill="1" applyBorder="1" applyAlignment="1">
      <alignment horizontal="center"/>
    </xf>
    <xf numFmtId="0" fontId="49" fillId="2" borderId="70" xfId="0" applyFont="1" applyFill="1" applyBorder="1" applyAlignment="1">
      <alignment horizontal="center"/>
    </xf>
    <xf numFmtId="0" fontId="18" fillId="2" borderId="73" xfId="0" applyFont="1" applyFill="1" applyBorder="1" applyAlignment="1">
      <alignment horizontal="center"/>
    </xf>
    <xf numFmtId="0" fontId="47" fillId="2" borderId="0" xfId="0" applyFont="1" applyFill="1" applyAlignment="1">
      <alignment vertical="center"/>
    </xf>
    <xf numFmtId="0" fontId="50" fillId="2" borderId="76" xfId="0" applyFont="1" applyFill="1" applyBorder="1" applyAlignment="1">
      <alignment horizontal="center" vertical="center"/>
    </xf>
    <xf numFmtId="0" fontId="12" fillId="2" borderId="69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vertical="center" wrapText="1"/>
    </xf>
    <xf numFmtId="0" fontId="12" fillId="2" borderId="42" xfId="0" applyFont="1" applyFill="1" applyBorder="1" applyAlignment="1" applyProtection="1">
      <alignment horizontal="left" vertical="center"/>
      <protection locked="0"/>
    </xf>
    <xf numFmtId="0" fontId="35" fillId="2" borderId="40" xfId="0" applyFont="1" applyFill="1" applyBorder="1" applyAlignment="1" applyProtection="1">
      <alignment horizontal="center" vertical="center"/>
      <protection locked="0"/>
    </xf>
    <xf numFmtId="0" fontId="12" fillId="2" borderId="40" xfId="0" applyFont="1" applyFill="1" applyBorder="1" applyAlignment="1" applyProtection="1">
      <alignment horizontal="center" vertical="center"/>
      <protection locked="0"/>
    </xf>
    <xf numFmtId="0" fontId="37" fillId="2" borderId="43" xfId="0" applyFont="1" applyFill="1" applyBorder="1" applyAlignment="1" applyProtection="1">
      <alignment horizontal="center" vertical="center"/>
      <protection locked="0"/>
    </xf>
    <xf numFmtId="0" fontId="12" fillId="8" borderId="42" xfId="0" applyFont="1" applyFill="1" applyBorder="1" applyAlignment="1" applyProtection="1">
      <alignment horizontal="left" vertical="center"/>
      <protection locked="0"/>
    </xf>
    <xf numFmtId="0" fontId="35" fillId="8" borderId="40" xfId="0" applyFont="1" applyFill="1" applyBorder="1" applyAlignment="1" applyProtection="1">
      <alignment horizontal="center" vertical="center"/>
      <protection locked="0"/>
    </xf>
    <xf numFmtId="0" fontId="12" fillId="8" borderId="40" xfId="0" applyFont="1" applyFill="1" applyBorder="1" applyAlignment="1" applyProtection="1">
      <alignment horizontal="center" vertical="center"/>
      <protection locked="0"/>
    </xf>
    <xf numFmtId="0" fontId="37" fillId="8" borderId="43" xfId="0" applyFont="1" applyFill="1" applyBorder="1" applyAlignment="1" applyProtection="1">
      <alignment horizontal="center" vertical="center"/>
      <protection locked="0"/>
    </xf>
    <xf numFmtId="0" fontId="35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37" fillId="2" borderId="46" xfId="0" applyFont="1" applyFill="1" applyBorder="1" applyAlignment="1" applyProtection="1">
      <alignment horizontal="center" vertical="center"/>
      <protection locked="0"/>
    </xf>
    <xf numFmtId="0" fontId="23" fillId="2" borderId="13" xfId="0" applyFont="1" applyFill="1" applyBorder="1" applyAlignment="1" applyProtection="1">
      <alignment horizontal="center" vertical="center"/>
      <protection locked="0"/>
    </xf>
    <xf numFmtId="0" fontId="23" fillId="2" borderId="2" xfId="0" applyFont="1" applyFill="1" applyBorder="1" applyAlignment="1" applyProtection="1">
      <alignment horizontal="center" vertical="center"/>
      <protection locked="0"/>
    </xf>
    <xf numFmtId="0" fontId="24" fillId="2" borderId="13" xfId="0" applyFont="1" applyFill="1" applyBorder="1" applyAlignment="1" applyProtection="1">
      <alignment horizontal="center" vertical="center"/>
      <protection locked="0"/>
    </xf>
    <xf numFmtId="0" fontId="24" fillId="2" borderId="2" xfId="0" applyFont="1" applyFill="1" applyBorder="1" applyAlignment="1" applyProtection="1">
      <alignment horizontal="center" vertical="center"/>
      <protection locked="0"/>
    </xf>
    <xf numFmtId="0" fontId="23" fillId="8" borderId="2" xfId="0" applyFont="1" applyFill="1" applyBorder="1" applyAlignment="1" applyProtection="1">
      <alignment horizontal="center" vertical="center"/>
      <protection locked="0"/>
    </xf>
    <xf numFmtId="0" fontId="23" fillId="8" borderId="2" xfId="0" applyFont="1" applyFill="1" applyBorder="1" applyAlignment="1">
      <alignment horizontal="center" vertical="center"/>
    </xf>
    <xf numFmtId="0" fontId="24" fillId="8" borderId="2" xfId="0" applyFont="1" applyFill="1" applyBorder="1" applyAlignment="1" applyProtection="1">
      <alignment horizontal="center" vertical="center"/>
      <protection locked="0"/>
    </xf>
    <xf numFmtId="0" fontId="23" fillId="8" borderId="13" xfId="0" applyFont="1" applyFill="1" applyBorder="1" applyAlignment="1">
      <alignment horizontal="center" vertical="center"/>
    </xf>
    <xf numFmtId="0" fontId="23" fillId="8" borderId="13" xfId="0" applyFont="1" applyFill="1" applyBorder="1" applyAlignment="1" applyProtection="1">
      <alignment horizontal="center" vertical="center"/>
      <protection locked="0"/>
    </xf>
    <xf numFmtId="1" fontId="23" fillId="8" borderId="13" xfId="0" applyNumberFormat="1" applyFont="1" applyFill="1" applyBorder="1" applyAlignment="1">
      <alignment horizontal="center" vertical="center"/>
    </xf>
    <xf numFmtId="0" fontId="24" fillId="8" borderId="13" xfId="0" applyFont="1" applyFill="1" applyBorder="1" applyAlignment="1" applyProtection="1">
      <alignment horizontal="center" vertical="center"/>
      <protection locked="0"/>
    </xf>
    <xf numFmtId="0" fontId="33" fillId="2" borderId="42" xfId="0" applyFont="1" applyFill="1" applyBorder="1" applyAlignment="1" applyProtection="1">
      <alignment horizontal="left" vertical="center"/>
      <protection locked="0"/>
    </xf>
    <xf numFmtId="0" fontId="32" fillId="2" borderId="40" xfId="0" applyFont="1" applyFill="1" applyBorder="1" applyAlignment="1" applyProtection="1">
      <alignment horizontal="center" vertical="center"/>
      <protection locked="0"/>
    </xf>
    <xf numFmtId="0" fontId="33" fillId="8" borderId="42" xfId="0" applyFont="1" applyFill="1" applyBorder="1" applyAlignment="1" applyProtection="1">
      <alignment horizontal="left" vertical="center"/>
      <protection locked="0"/>
    </xf>
    <xf numFmtId="0" fontId="32" fillId="8" borderId="40" xfId="0" applyFont="1" applyFill="1" applyBorder="1" applyAlignment="1" applyProtection="1">
      <alignment horizontal="center" vertical="center"/>
      <protection locked="0"/>
    </xf>
    <xf numFmtId="0" fontId="33" fillId="8" borderId="44" xfId="0" applyFont="1" applyFill="1" applyBorder="1" applyAlignment="1" applyProtection="1">
      <alignment horizontal="left" vertical="center"/>
      <protection locked="0"/>
    </xf>
    <xf numFmtId="0" fontId="32" fillId="8" borderId="45" xfId="0" applyFont="1" applyFill="1" applyBorder="1" applyAlignment="1" applyProtection="1">
      <alignment horizontal="center" vertical="center"/>
      <protection locked="0"/>
    </xf>
    <xf numFmtId="9" fontId="11" fillId="2" borderId="40" xfId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left" vertical="center" wrapText="1"/>
      <protection locked="0"/>
    </xf>
    <xf numFmtId="9" fontId="11" fillId="8" borderId="40" xfId="1" applyFont="1" applyFill="1" applyBorder="1" applyAlignment="1" applyProtection="1">
      <alignment horizontal="center" vertical="center"/>
      <protection locked="0"/>
    </xf>
    <xf numFmtId="0" fontId="12" fillId="8" borderId="43" xfId="0" applyFont="1" applyFill="1" applyBorder="1" applyAlignment="1" applyProtection="1">
      <alignment horizontal="left" vertical="center" wrapText="1"/>
      <protection locked="0"/>
    </xf>
    <xf numFmtId="9" fontId="11" fillId="8" borderId="45" xfId="1" applyFont="1" applyFill="1" applyBorder="1" applyAlignment="1" applyProtection="1">
      <alignment horizontal="center" vertical="center"/>
      <protection locked="0"/>
    </xf>
    <xf numFmtId="0" fontId="12" fillId="2" borderId="75" xfId="0" applyFont="1" applyFill="1" applyBorder="1" applyAlignment="1">
      <alignment horizontal="center" vertical="top" shrinkToFit="1"/>
    </xf>
    <xf numFmtId="0" fontId="27" fillId="2" borderId="3" xfId="0" applyFont="1" applyFill="1" applyBorder="1" applyAlignment="1" applyProtection="1">
      <alignment horizontal="center" vertical="center"/>
      <protection locked="0"/>
    </xf>
    <xf numFmtId="0" fontId="23" fillId="2" borderId="13" xfId="0" applyFont="1" applyFill="1" applyBorder="1" applyAlignment="1" applyProtection="1">
      <alignment horizontal="center" vertical="center" wrapText="1"/>
      <protection locked="0"/>
    </xf>
    <xf numFmtId="0" fontId="23" fillId="8" borderId="2" xfId="0" applyFont="1" applyFill="1" applyBorder="1" applyAlignment="1" applyProtection="1">
      <alignment horizontal="center" vertical="center" wrapText="1"/>
      <protection locked="0"/>
    </xf>
    <xf numFmtId="0" fontId="23" fillId="2" borderId="2" xfId="0" applyFont="1" applyFill="1" applyBorder="1" applyAlignment="1" applyProtection="1">
      <alignment horizontal="center" vertical="center" wrapText="1"/>
      <protection locked="0"/>
    </xf>
    <xf numFmtId="0" fontId="23" fillId="8" borderId="13" xfId="0" applyFont="1" applyFill="1" applyBorder="1" applyAlignment="1" applyProtection="1">
      <alignment horizontal="center" vertical="center" wrapText="1"/>
      <protection locked="0"/>
    </xf>
    <xf numFmtId="14" fontId="13" fillId="2" borderId="40" xfId="0" applyNumberFormat="1" applyFont="1" applyFill="1" applyBorder="1" applyAlignment="1" applyProtection="1">
      <alignment horizontal="center" vertical="center" wrapText="1"/>
      <protection locked="0"/>
    </xf>
    <xf numFmtId="14" fontId="13" fillId="8" borderId="40" xfId="0" applyNumberFormat="1" applyFont="1" applyFill="1" applyBorder="1" applyAlignment="1" applyProtection="1">
      <alignment horizontal="center" vertical="center" wrapText="1"/>
      <protection locked="0"/>
    </xf>
    <xf numFmtId="14" fontId="8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0" fontId="38" fillId="2" borderId="68" xfId="0" applyFont="1" applyFill="1" applyBorder="1" applyAlignment="1">
      <alignment horizontal="center" vertical="center" shrinkToFit="1"/>
    </xf>
    <xf numFmtId="0" fontId="38" fillId="2" borderId="71" xfId="0" applyFont="1" applyFill="1" applyBorder="1" applyAlignment="1">
      <alignment horizontal="center" vertical="center" wrapText="1"/>
    </xf>
    <xf numFmtId="0" fontId="38" fillId="2" borderId="74" xfId="0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0" fillId="2" borderId="67" xfId="0" applyFill="1" applyBorder="1" applyAlignment="1">
      <alignment horizontal="center"/>
    </xf>
    <xf numFmtId="0" fontId="0" fillId="2" borderId="69" xfId="0" applyFill="1" applyBorder="1" applyAlignment="1">
      <alignment horizontal="center"/>
    </xf>
    <xf numFmtId="0" fontId="4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0" fillId="2" borderId="73" xfId="0" applyFill="1" applyBorder="1" applyAlignment="1">
      <alignment horizontal="center"/>
    </xf>
    <xf numFmtId="0" fontId="0" fillId="2" borderId="75" xfId="0" applyFill="1" applyBorder="1" applyAlignment="1">
      <alignment horizontal="center"/>
    </xf>
    <xf numFmtId="9" fontId="0" fillId="2" borderId="76" xfId="0" applyNumberFormat="1" applyFill="1" applyBorder="1" applyAlignment="1">
      <alignment horizontal="center"/>
    </xf>
    <xf numFmtId="0" fontId="0" fillId="2" borderId="78" xfId="0" applyFill="1" applyBorder="1" applyAlignment="1">
      <alignment horizontal="center"/>
    </xf>
    <xf numFmtId="0" fontId="0" fillId="2" borderId="70" xfId="0" applyFill="1" applyBorder="1" applyAlignment="1">
      <alignment horizontal="center"/>
    </xf>
    <xf numFmtId="0" fontId="0" fillId="2" borderId="72" xfId="0" applyFill="1" applyBorder="1" applyAlignment="1">
      <alignment horizontal="center"/>
    </xf>
    <xf numFmtId="9" fontId="38" fillId="2" borderId="77" xfId="0" applyNumberFormat="1" applyFont="1" applyFill="1" applyBorder="1" applyAlignment="1">
      <alignment horizontal="center" vertical="center" shrinkToFit="1"/>
    </xf>
    <xf numFmtId="0" fontId="39" fillId="2" borderId="7" xfId="0" applyFont="1" applyFill="1" applyBorder="1" applyAlignment="1">
      <alignment horizontal="center" vertical="center"/>
    </xf>
    <xf numFmtId="0" fontId="39" fillId="2" borderId="8" xfId="0" applyFont="1" applyFill="1" applyBorder="1" applyAlignment="1">
      <alignment horizontal="center" vertical="center"/>
    </xf>
    <xf numFmtId="0" fontId="39" fillId="2" borderId="9" xfId="0" applyFont="1" applyFill="1" applyBorder="1" applyAlignment="1">
      <alignment horizontal="center" vertical="center"/>
    </xf>
    <xf numFmtId="0" fontId="39" fillId="2" borderId="10" xfId="0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/>
    </xf>
    <xf numFmtId="0" fontId="39" fillId="2" borderId="12" xfId="0" applyFont="1" applyFill="1" applyBorder="1" applyAlignment="1">
      <alignment horizontal="center" vertical="center"/>
    </xf>
    <xf numFmtId="9" fontId="0" fillId="2" borderId="7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9" fontId="0" fillId="2" borderId="9" xfId="0" applyNumberFormat="1" applyFill="1" applyBorder="1" applyAlignment="1">
      <alignment horizontal="center"/>
    </xf>
    <xf numFmtId="9" fontId="0" fillId="2" borderId="10" xfId="0" applyNumberFormat="1" applyFill="1" applyBorder="1" applyAlignment="1">
      <alignment horizontal="center"/>
    </xf>
    <xf numFmtId="9" fontId="0" fillId="2" borderId="11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9" fontId="38" fillId="2" borderId="41" xfId="1" applyFont="1" applyFill="1" applyBorder="1" applyAlignment="1">
      <alignment horizontal="center" vertical="center" wrapText="1"/>
    </xf>
    <xf numFmtId="9" fontId="38" fillId="2" borderId="39" xfId="1" applyFont="1" applyFill="1" applyBorder="1" applyAlignment="1">
      <alignment horizontal="center" vertical="center" wrapText="1"/>
    </xf>
    <xf numFmtId="9" fontId="38" fillId="2" borderId="13" xfId="1" applyFont="1" applyFill="1" applyBorder="1" applyAlignment="1">
      <alignment horizontal="center" vertical="center" wrapText="1"/>
    </xf>
    <xf numFmtId="0" fontId="36" fillId="2" borderId="7" xfId="0" applyFont="1" applyFill="1" applyBorder="1" applyAlignment="1">
      <alignment horizontal="center" vertical="top"/>
    </xf>
    <xf numFmtId="0" fontId="36" fillId="2" borderId="8" xfId="0" applyFont="1" applyFill="1" applyBorder="1" applyAlignment="1">
      <alignment horizontal="center" vertical="top"/>
    </xf>
    <xf numFmtId="0" fontId="36" fillId="2" borderId="9" xfId="0" applyFont="1" applyFill="1" applyBorder="1" applyAlignment="1">
      <alignment horizontal="center" vertical="top"/>
    </xf>
    <xf numFmtId="0" fontId="36" fillId="2" borderId="14" xfId="0" applyFont="1" applyFill="1" applyBorder="1" applyAlignment="1">
      <alignment horizontal="center" vertical="top"/>
    </xf>
    <xf numFmtId="0" fontId="36" fillId="2" borderId="0" xfId="0" applyFont="1" applyFill="1" applyAlignment="1">
      <alignment horizontal="center" vertical="top"/>
    </xf>
    <xf numFmtId="0" fontId="36" fillId="2" borderId="15" xfId="0" applyFont="1" applyFill="1" applyBorder="1" applyAlignment="1">
      <alignment horizontal="center" vertical="top"/>
    </xf>
    <xf numFmtId="0" fontId="27" fillId="2" borderId="0" xfId="0" applyFont="1" applyFill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44" fillId="3" borderId="54" xfId="0" applyFont="1" applyFill="1" applyBorder="1" applyAlignment="1">
      <alignment horizontal="center" vertical="center"/>
    </xf>
    <xf numFmtId="0" fontId="44" fillId="3" borderId="55" xfId="0" applyFont="1" applyFill="1" applyBorder="1" applyAlignment="1">
      <alignment horizontal="center" vertical="center"/>
    </xf>
    <xf numFmtId="0" fontId="33" fillId="3" borderId="56" xfId="0" applyFont="1" applyFill="1" applyBorder="1" applyAlignment="1">
      <alignment horizontal="center" vertical="center"/>
    </xf>
    <xf numFmtId="0" fontId="33" fillId="3" borderId="57" xfId="0" applyFont="1" applyFill="1" applyBorder="1" applyAlignment="1">
      <alignment horizontal="center" vertical="center"/>
    </xf>
    <xf numFmtId="0" fontId="33" fillId="3" borderId="58" xfId="0" applyFont="1" applyFill="1" applyBorder="1" applyAlignment="1">
      <alignment horizontal="center" vertical="center"/>
    </xf>
    <xf numFmtId="0" fontId="33" fillId="3" borderId="59" xfId="0" applyFont="1" applyFill="1" applyBorder="1" applyAlignment="1">
      <alignment horizontal="center" vertical="center"/>
    </xf>
    <xf numFmtId="0" fontId="45" fillId="3" borderId="48" xfId="0" applyFont="1" applyFill="1" applyBorder="1" applyAlignment="1">
      <alignment horizontal="center" vertical="center" wrapText="1"/>
    </xf>
    <xf numFmtId="0" fontId="45" fillId="3" borderId="49" xfId="0" applyFont="1" applyFill="1" applyBorder="1" applyAlignment="1">
      <alignment horizontal="center" vertical="center" wrapText="1"/>
    </xf>
    <xf numFmtId="1" fontId="33" fillId="3" borderId="52" xfId="1" applyNumberFormat="1" applyFont="1" applyFill="1" applyBorder="1" applyAlignment="1">
      <alignment horizontal="center" vertical="center"/>
    </xf>
    <xf numFmtId="1" fontId="33" fillId="3" borderId="53" xfId="1" applyNumberFormat="1" applyFont="1" applyFill="1" applyBorder="1" applyAlignment="1">
      <alignment horizontal="center" vertical="center"/>
    </xf>
    <xf numFmtId="1" fontId="33" fillId="3" borderId="50" xfId="1" applyNumberFormat="1" applyFont="1" applyFill="1" applyBorder="1" applyAlignment="1">
      <alignment horizontal="center" vertical="center"/>
    </xf>
    <xf numFmtId="1" fontId="33" fillId="3" borderId="51" xfId="1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0" fillId="5" borderId="21" xfId="0" applyFont="1" applyFill="1" applyBorder="1" applyAlignment="1">
      <alignment horizontal="center" vertical="center"/>
    </xf>
    <xf numFmtId="0" fontId="20" fillId="5" borderId="22" xfId="0" applyFont="1" applyFill="1" applyBorder="1" applyAlignment="1">
      <alignment horizontal="center" vertical="center"/>
    </xf>
    <xf numFmtId="0" fontId="43" fillId="3" borderId="23" xfId="0" applyFont="1" applyFill="1" applyBorder="1" applyAlignment="1">
      <alignment horizontal="center" vertical="center"/>
    </xf>
    <xf numFmtId="0" fontId="43" fillId="3" borderId="24" xfId="0" applyFont="1" applyFill="1" applyBorder="1" applyAlignment="1">
      <alignment horizontal="center" vertical="center"/>
    </xf>
    <xf numFmtId="0" fontId="43" fillId="3" borderId="25" xfId="0" applyFont="1" applyFill="1" applyBorder="1" applyAlignment="1">
      <alignment horizontal="center" vertical="center"/>
    </xf>
    <xf numFmtId="0" fontId="43" fillId="3" borderId="26" xfId="0" applyFont="1" applyFill="1" applyBorder="1" applyAlignment="1">
      <alignment horizontal="center" vertical="center"/>
    </xf>
    <xf numFmtId="0" fontId="43" fillId="3" borderId="27" xfId="0" applyFont="1" applyFill="1" applyBorder="1" applyAlignment="1">
      <alignment horizontal="center" vertical="center"/>
    </xf>
    <xf numFmtId="0" fontId="43" fillId="3" borderId="28" xfId="0" applyFont="1" applyFill="1" applyBorder="1" applyAlignment="1">
      <alignment horizontal="center" vertical="center"/>
    </xf>
    <xf numFmtId="0" fontId="20" fillId="7" borderId="33" xfId="0" applyFont="1" applyFill="1" applyBorder="1" applyAlignment="1">
      <alignment horizontal="center" vertical="center" wrapText="1"/>
    </xf>
    <xf numFmtId="0" fontId="20" fillId="7" borderId="34" xfId="0" applyFont="1" applyFill="1" applyBorder="1" applyAlignment="1">
      <alignment horizontal="center" vertical="center" wrapText="1"/>
    </xf>
    <xf numFmtId="0" fontId="43" fillId="3" borderId="35" xfId="0" applyFont="1" applyFill="1" applyBorder="1" applyAlignment="1">
      <alignment horizontal="center" vertical="center" wrapText="1"/>
    </xf>
    <xf numFmtId="0" fontId="43" fillId="3" borderId="36" xfId="0" applyFont="1" applyFill="1" applyBorder="1" applyAlignment="1">
      <alignment horizontal="center" vertical="center" wrapText="1"/>
    </xf>
    <xf numFmtId="0" fontId="43" fillId="3" borderId="37" xfId="0" applyFont="1" applyFill="1" applyBorder="1" applyAlignment="1">
      <alignment horizontal="center" vertical="center" wrapText="1"/>
    </xf>
    <xf numFmtId="0" fontId="43" fillId="3" borderId="38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43" fillId="3" borderId="7" xfId="0" applyFont="1" applyFill="1" applyBorder="1" applyAlignment="1">
      <alignment horizontal="center" vertical="center"/>
    </xf>
    <xf numFmtId="0" fontId="43" fillId="3" borderId="9" xfId="0" applyFont="1" applyFill="1" applyBorder="1" applyAlignment="1">
      <alignment horizontal="center" vertical="center"/>
    </xf>
    <xf numFmtId="0" fontId="43" fillId="3" borderId="14" xfId="0" applyFont="1" applyFill="1" applyBorder="1" applyAlignment="1">
      <alignment horizontal="center" vertical="center"/>
    </xf>
    <xf numFmtId="0" fontId="43" fillId="3" borderId="15" xfId="0" applyFont="1" applyFill="1" applyBorder="1" applyAlignment="1">
      <alignment horizontal="center" vertical="center"/>
    </xf>
    <xf numFmtId="0" fontId="43" fillId="3" borderId="10" xfId="0" applyFont="1" applyFill="1" applyBorder="1" applyAlignment="1">
      <alignment horizontal="center" vertical="center"/>
    </xf>
    <xf numFmtId="0" fontId="43" fillId="3" borderId="12" xfId="0" applyFont="1" applyFill="1" applyBorder="1" applyAlignment="1">
      <alignment horizontal="center" vertical="center"/>
    </xf>
    <xf numFmtId="0" fontId="20" fillId="6" borderId="19" xfId="0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43" fillId="3" borderId="29" xfId="0" applyFont="1" applyFill="1" applyBorder="1" applyAlignment="1">
      <alignment horizontal="center" vertical="center"/>
    </xf>
    <xf numFmtId="0" fontId="43" fillId="3" borderId="30" xfId="0" applyFont="1" applyFill="1" applyBorder="1" applyAlignment="1">
      <alignment horizontal="center" vertical="center"/>
    </xf>
    <xf numFmtId="0" fontId="43" fillId="3" borderId="31" xfId="0" applyFont="1" applyFill="1" applyBorder="1" applyAlignment="1">
      <alignment horizontal="center" vertical="center"/>
    </xf>
    <xf numFmtId="0" fontId="43" fillId="3" borderId="32" xfId="0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42" fillId="2" borderId="14" xfId="0" applyFont="1" applyFill="1" applyBorder="1" applyAlignment="1">
      <alignment horizontal="center"/>
    </xf>
    <xf numFmtId="0" fontId="4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40" fillId="2" borderId="54" xfId="0" applyFont="1" applyFill="1" applyBorder="1" applyAlignment="1">
      <alignment horizontal="center" vertical="center"/>
    </xf>
    <xf numFmtId="0" fontId="40" fillId="2" borderId="55" xfId="0" applyFont="1" applyFill="1" applyBorder="1" applyAlignment="1">
      <alignment horizontal="center" vertical="center"/>
    </xf>
    <xf numFmtId="0" fontId="30" fillId="2" borderId="63" xfId="0" applyFont="1" applyFill="1" applyBorder="1" applyAlignment="1">
      <alignment horizontal="center" vertical="center"/>
    </xf>
    <xf numFmtId="0" fontId="30" fillId="2" borderId="64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9" fontId="13" fillId="2" borderId="65" xfId="1" applyFont="1" applyFill="1" applyBorder="1" applyAlignment="1">
      <alignment horizontal="center" vertical="center"/>
    </xf>
    <xf numFmtId="9" fontId="13" fillId="2" borderId="66" xfId="1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13" fillId="2" borderId="17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2">
    <dxf>
      <fill>
        <patternFill>
          <bgColor rgb="FFF1C40F"/>
        </patternFill>
      </fill>
    </dxf>
    <dxf>
      <fill>
        <patternFill>
          <bgColor rgb="FF4D8CFF"/>
        </patternFill>
      </fill>
    </dxf>
    <dxf>
      <fill>
        <patternFill>
          <bgColor rgb="FF00C853"/>
        </patternFill>
      </fill>
    </dxf>
    <dxf>
      <fill>
        <patternFill>
          <bgColor rgb="FF00B050"/>
        </patternFill>
      </fill>
    </dxf>
    <dxf>
      <fill>
        <patternFill>
          <bgColor rgb="FFF1C40F"/>
        </patternFill>
      </fill>
    </dxf>
    <dxf>
      <fill>
        <patternFill>
          <bgColor rgb="FFE74C3C"/>
        </patternFill>
      </fill>
    </dxf>
    <dxf>
      <fill>
        <patternFill>
          <bgColor rgb="FF4D8CFF"/>
        </patternFill>
      </fill>
    </dxf>
    <dxf>
      <fill>
        <patternFill>
          <bgColor rgb="FFF39C12"/>
        </patternFill>
      </fill>
    </dxf>
    <dxf>
      <fill>
        <patternFill>
          <bgColor rgb="FFEC4899"/>
        </patternFill>
      </fill>
    </dxf>
    <dxf>
      <fill>
        <patternFill>
          <bgColor rgb="FF2ECC71"/>
        </patternFill>
      </fill>
    </dxf>
    <dxf>
      <fill>
        <patternFill>
          <bgColor rgb="FFF1C40F"/>
        </patternFill>
      </fill>
    </dxf>
    <dxf>
      <fill>
        <patternFill>
          <bgColor rgb="FF9B7FD4"/>
        </patternFill>
      </fill>
    </dxf>
    <dxf>
      <fill>
        <patternFill>
          <bgColor rgb="FF26A69A"/>
        </patternFill>
      </fill>
    </dxf>
    <dxf>
      <fill>
        <patternFill>
          <bgColor rgb="FF95A5A6"/>
        </patternFill>
      </fill>
    </dxf>
    <dxf>
      <font>
        <color rgb="FF1D2227"/>
      </font>
      <fill>
        <patternFill>
          <bgColor rgb="FF00B050"/>
        </patternFill>
      </fill>
    </dxf>
    <dxf>
      <font>
        <color rgb="FF1D2227"/>
      </font>
      <fill>
        <patternFill>
          <bgColor rgb="FFFFC000"/>
        </patternFill>
      </fill>
    </dxf>
    <dxf>
      <font>
        <color rgb="FF1D2227"/>
      </font>
      <fill>
        <patternFill>
          <bgColor rgb="FFFFC000"/>
        </patternFill>
      </fill>
    </dxf>
    <dxf>
      <font>
        <color rgb="FF1D2227"/>
      </font>
      <fill>
        <patternFill>
          <bgColor rgb="FF00B050"/>
        </patternFill>
      </fill>
    </dxf>
    <dxf>
      <fill>
        <patternFill>
          <bgColor rgb="FFF1C40F"/>
        </patternFill>
      </fill>
    </dxf>
    <dxf>
      <fill>
        <patternFill>
          <bgColor rgb="FF4D8CFF"/>
        </patternFill>
      </fill>
    </dxf>
    <dxf>
      <fill>
        <patternFill>
          <bgColor rgb="FF00C853"/>
        </patternFill>
      </fill>
    </dxf>
    <dxf>
      <fill>
        <patternFill>
          <bgColor rgb="FF00B050"/>
        </patternFill>
      </fill>
    </dxf>
    <dxf>
      <fill>
        <patternFill>
          <bgColor rgb="FFF1C40F"/>
        </patternFill>
      </fill>
    </dxf>
    <dxf>
      <fill>
        <patternFill>
          <bgColor rgb="FFE74C3C"/>
        </patternFill>
      </fill>
    </dxf>
    <dxf>
      <fill>
        <patternFill>
          <bgColor rgb="FF4D8CFF"/>
        </patternFill>
      </fill>
    </dxf>
    <dxf>
      <fill>
        <patternFill>
          <bgColor rgb="FFF39C12"/>
        </patternFill>
      </fill>
    </dxf>
    <dxf>
      <fill>
        <patternFill>
          <bgColor rgb="FFEC4899"/>
        </patternFill>
      </fill>
    </dxf>
    <dxf>
      <fill>
        <patternFill>
          <bgColor rgb="FF2ECC71"/>
        </patternFill>
      </fill>
    </dxf>
    <dxf>
      <fill>
        <patternFill>
          <bgColor rgb="FFF1C40F"/>
        </patternFill>
      </fill>
    </dxf>
    <dxf>
      <fill>
        <patternFill>
          <bgColor rgb="FF9B7FD4"/>
        </patternFill>
      </fill>
    </dxf>
    <dxf>
      <fill>
        <patternFill>
          <bgColor rgb="FF26A69A"/>
        </patternFill>
      </fill>
    </dxf>
    <dxf>
      <fill>
        <patternFill>
          <bgColor rgb="FF95A5A6"/>
        </patternFill>
      </fill>
    </dxf>
  </dxfs>
  <tableStyles count="0" defaultTableStyle="TableStyleMedium2" defaultPivotStyle="PivotStyleLight16"/>
  <colors>
    <mruColors>
      <color rgb="FFE7E8E9"/>
      <color rgb="FF303740"/>
      <color rgb="FF9B7FD4"/>
      <color rgb="FFF1C40F"/>
      <color rgb="FF281848"/>
      <color rgb="FF11291C"/>
      <color rgb="FF5DBB8A"/>
      <color rgb="FF0C1D2E"/>
      <color rgb="FF153453"/>
      <color rgb="FF0E21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rgbClr val="4D8CFF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4D8CFF"/>
                </a:solidFill>
              </a:rPr>
              <a:t>TASKS</a:t>
            </a:r>
            <a:r>
              <a:rPr lang="en-US" baseline="0">
                <a:solidFill>
                  <a:srgbClr val="4D8CFF"/>
                </a:solidFill>
              </a:rPr>
              <a:t> BY CATEGORY</a:t>
            </a:r>
          </a:p>
        </c:rich>
      </c:tx>
      <c:layout>
        <c:manualLayout>
          <c:xMode val="edge"/>
          <c:yMode val="edge"/>
          <c:x val="0.3167043334496200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rgbClr val="4D8C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381988686143228"/>
          <c:y val="0.15141605335408459"/>
          <c:w val="0.3328556910789312"/>
          <c:h val="0.70734401620850029"/>
        </c:manualLayout>
      </c:layout>
      <c:doughnutChart>
        <c:varyColors val="1"/>
        <c:ser>
          <c:idx val="0"/>
          <c:order val="0"/>
          <c:spPr>
            <a:ln>
              <a:noFill/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E5-4A43-9EF7-88CF34AAE0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E5-4A43-9EF7-88CF34AAE0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E5-4A43-9EF7-88CF34AAE0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E5-4A43-9EF7-88CF34AAE0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E5-4A43-9EF7-88CF34AAE0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E5-4A43-9EF7-88CF34AAE0BE}"/>
              </c:ext>
            </c:extLst>
          </c:dPt>
          <c:dPt>
            <c:idx val="6"/>
            <c:bubble3D val="0"/>
            <c:spPr>
              <a:solidFill>
                <a:srgbClr val="95A5A6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E5-4A43-9EF7-88CF34AAE0BE}"/>
              </c:ext>
            </c:extLst>
          </c:dPt>
          <c:dLbls>
            <c:delete val="1"/>
          </c:dLbls>
          <c:cat>
            <c:strRef>
              <c:f>CONFIG!$J$7:$J$13</c:f>
              <c:strCache>
                <c:ptCount val="7"/>
                <c:pt idx="0">
                  <c:v>Personal</c:v>
                </c:pt>
                <c:pt idx="1">
                  <c:v>Study</c:v>
                </c:pt>
                <c:pt idx="2">
                  <c:v>Work</c:v>
                </c:pt>
                <c:pt idx="3">
                  <c:v>Health</c:v>
                </c:pt>
                <c:pt idx="4">
                  <c:v>Finance</c:v>
                </c:pt>
                <c:pt idx="5">
                  <c:v>Home</c:v>
                </c:pt>
                <c:pt idx="6">
                  <c:v>Other</c:v>
                </c:pt>
              </c:strCache>
            </c:strRef>
          </c:cat>
          <c:val>
            <c:numRef>
              <c:f>CONFIG!$N$7:$N$13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CE5-4A43-9EF7-88CF34AAE0B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34185350049993"/>
          <c:y val="0.23395056889783958"/>
          <c:w val="0.13301082933697622"/>
          <c:h val="0.532098507518800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7E8E9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 rot="0" vert="horz" anchor="b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rgbClr val="9B7FD4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B7FD4"/>
                </a:solidFill>
              </a:rPr>
              <a:t>PROJECTS PRIORITY</a:t>
            </a:r>
            <a:r>
              <a:rPr lang="en-US" baseline="0">
                <a:solidFill>
                  <a:srgbClr val="9B7FD4"/>
                </a:solidFill>
              </a:rPr>
              <a:t> BREAKDOWN</a:t>
            </a:r>
            <a:endParaRPr lang="en-US">
              <a:solidFill>
                <a:srgbClr val="9B7FD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rgbClr val="9B7FD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734786174419279"/>
          <c:y val="0.15433807160243582"/>
          <c:w val="0.40194538889982778"/>
          <c:h val="0.67990913264554798"/>
        </c:manualLayout>
      </c:layout>
      <c:doughnutChart>
        <c:varyColors val="1"/>
        <c:ser>
          <c:idx val="0"/>
          <c:order val="0"/>
          <c:spPr>
            <a:solidFill>
              <a:srgbClr val="E74C3C"/>
            </a:solidFill>
          </c:spPr>
          <c:dPt>
            <c:idx val="0"/>
            <c:bubble3D val="0"/>
            <c:spPr>
              <a:solidFill>
                <a:srgbClr val="00C85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A17-464E-8F9A-96A95EA29C2C}"/>
              </c:ext>
            </c:extLst>
          </c:dPt>
          <c:dPt>
            <c:idx val="1"/>
            <c:bubble3D val="0"/>
            <c:spPr>
              <a:solidFill>
                <a:srgbClr val="F1C40F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A17-464E-8F9A-96A95EA29C2C}"/>
              </c:ext>
            </c:extLst>
          </c:dPt>
          <c:dPt>
            <c:idx val="2"/>
            <c:bubble3D val="0"/>
            <c:spPr>
              <a:solidFill>
                <a:srgbClr val="E74C3C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A17-464E-8F9A-96A95EA29C2C}"/>
              </c:ext>
            </c:extLst>
          </c:dPt>
          <c:dLbls>
            <c:delete val="1"/>
          </c:dLbls>
          <c:cat>
            <c:strRef>
              <c:f>CONFIG!$K$7:$K$9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CONFIG!$O$7:$O$9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17-464E-8F9A-96A95EA29C2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7E8E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15295546297928"/>
          <c:y val="0.14782405753850378"/>
          <c:w val="0.44102785245134529"/>
          <c:h val="0.66056028252829757"/>
        </c:manualLayout>
      </c:layout>
      <c:doughnutChart>
        <c:varyColors val="1"/>
        <c:ser>
          <c:idx val="0"/>
          <c:order val="0"/>
          <c:spPr>
            <a:ln>
              <a:noFill/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21-4C0A-9D75-239D168F31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21-4C0A-9D75-239D168F31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21-4C0A-9D75-239D168F31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921-4C0A-9D75-239D168F31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921-4C0A-9D75-239D168F31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921-4C0A-9D75-239D168F31E0}"/>
              </c:ext>
            </c:extLst>
          </c:dPt>
          <c:dPt>
            <c:idx val="6"/>
            <c:bubble3D val="0"/>
            <c:spPr>
              <a:solidFill>
                <a:srgbClr val="95A5A6"/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921-4C0A-9D75-239D168F31E0}"/>
              </c:ext>
            </c:extLst>
          </c:dPt>
          <c:dLbls>
            <c:delete val="1"/>
          </c:dLbls>
          <c:cat>
            <c:strRef>
              <c:f>CONFIG!$J$7:$J$13</c:f>
              <c:strCache>
                <c:ptCount val="7"/>
                <c:pt idx="0">
                  <c:v>Personal</c:v>
                </c:pt>
                <c:pt idx="1">
                  <c:v>Study</c:v>
                </c:pt>
                <c:pt idx="2">
                  <c:v>Work</c:v>
                </c:pt>
                <c:pt idx="3">
                  <c:v>Health</c:v>
                </c:pt>
                <c:pt idx="4">
                  <c:v>Finance</c:v>
                </c:pt>
                <c:pt idx="5">
                  <c:v>Home</c:v>
                </c:pt>
                <c:pt idx="6">
                  <c:v>Other</c:v>
                </c:pt>
              </c:strCache>
            </c:strRef>
          </c:cat>
          <c:val>
            <c:numRef>
              <c:f>CONFIG!$N$7:$N$13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921-4C0A-9D75-239D168F31E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7E8E9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 rot="0" vert="horz" anchor="b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94680384018173"/>
          <c:y val="7.4711917694780125E-2"/>
          <c:w val="0.71230616338813058"/>
          <c:h val="0.76835161917945971"/>
        </c:manualLayout>
      </c:layout>
      <c:doughnutChart>
        <c:varyColors val="1"/>
        <c:ser>
          <c:idx val="0"/>
          <c:order val="0"/>
          <c:spPr>
            <a:solidFill>
              <a:srgbClr val="E74C3C"/>
            </a:solidFill>
          </c:spPr>
          <c:dPt>
            <c:idx val="0"/>
            <c:bubble3D val="0"/>
            <c:spPr>
              <a:solidFill>
                <a:srgbClr val="00C85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648-40E8-AA88-F0C8B0425928}"/>
              </c:ext>
            </c:extLst>
          </c:dPt>
          <c:dPt>
            <c:idx val="1"/>
            <c:bubble3D val="0"/>
            <c:spPr>
              <a:solidFill>
                <a:srgbClr val="F1C40F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648-40E8-AA88-F0C8B0425928}"/>
              </c:ext>
            </c:extLst>
          </c:dPt>
          <c:dPt>
            <c:idx val="2"/>
            <c:bubble3D val="0"/>
            <c:spPr>
              <a:solidFill>
                <a:srgbClr val="E74C3C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648-40E8-AA88-F0C8B0425928}"/>
              </c:ext>
            </c:extLst>
          </c:dPt>
          <c:dLbls>
            <c:delete val="1"/>
          </c:dLbls>
          <c:cat>
            <c:strRef>
              <c:f>CONFIG!$K$7:$K$9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CONFIG!$O$7:$O$9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48-40E8-AA88-F0C8B04259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60623850519476"/>
          <c:y val="0.87018927112720534"/>
          <c:w val="0.46891294926936722"/>
          <c:h val="0.126954019345746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7E8E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JECTS!D2"/><Relationship Id="rId2" Type="http://schemas.openxmlformats.org/officeDocument/2006/relationships/hyperlink" Target="#BOOKS!D2"/><Relationship Id="rId1" Type="http://schemas.openxmlformats.org/officeDocument/2006/relationships/hyperlink" Target="#TASKS!D1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ASKS!D2"/><Relationship Id="rId2" Type="http://schemas.openxmlformats.org/officeDocument/2006/relationships/hyperlink" Target="#'THE FILE'!B3"/><Relationship Id="rId1" Type="http://schemas.openxmlformats.org/officeDocument/2006/relationships/chart" Target="../charts/chart3.xml"/><Relationship Id="rId5" Type="http://schemas.openxmlformats.org/officeDocument/2006/relationships/hyperlink" Target="#PROJECTS!D2"/><Relationship Id="rId4" Type="http://schemas.openxmlformats.org/officeDocument/2006/relationships/hyperlink" Target="#BOOKS!D2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BOOKS!D2"/><Relationship Id="rId2" Type="http://schemas.openxmlformats.org/officeDocument/2006/relationships/hyperlink" Target="#TASKS!D2"/><Relationship Id="rId1" Type="http://schemas.openxmlformats.org/officeDocument/2006/relationships/hyperlink" Target="#'THE FILE'!B3"/><Relationship Id="rId4" Type="http://schemas.openxmlformats.org/officeDocument/2006/relationships/hyperlink" Target="#PROJECTS!D2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TASKS!D2"/><Relationship Id="rId2" Type="http://schemas.openxmlformats.org/officeDocument/2006/relationships/hyperlink" Target="#'THE FILE'!B3"/><Relationship Id="rId1" Type="http://schemas.openxmlformats.org/officeDocument/2006/relationships/chart" Target="../charts/chart4.xml"/><Relationship Id="rId4" Type="http://schemas.openxmlformats.org/officeDocument/2006/relationships/hyperlink" Target="#BOOKS!D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10</xdr:row>
      <xdr:rowOff>22860</xdr:rowOff>
    </xdr:from>
    <xdr:to>
      <xdr:col>7</xdr:col>
      <xdr:colOff>190500</xdr:colOff>
      <xdr:row>15</xdr:row>
      <xdr:rowOff>114300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1D7B1B-BAE2-4E56-BECF-02C8B1791120}"/>
            </a:ext>
          </a:extLst>
        </xdr:cNvPr>
        <xdr:cNvSpPr/>
      </xdr:nvSpPr>
      <xdr:spPr>
        <a:xfrm>
          <a:off x="3909060" y="1127760"/>
          <a:ext cx="1577340" cy="100584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5491E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000" b="1" i="0">
              <a:solidFill>
                <a:srgbClr val="5191D2"/>
              </a:solidFill>
              <a:latin typeface="Bahnschrift Condensed" panose="020B0502040204020203" pitchFamily="34" charset="0"/>
            </a:rPr>
            <a:t>✓ TASKS</a:t>
          </a:r>
        </a:p>
        <a:p>
          <a:pPr algn="ctr"/>
          <a:endParaRPr lang="es-MX" sz="300" b="1" i="0" baseline="0">
            <a:solidFill>
              <a:srgbClr val="5191D2"/>
            </a:solidFill>
            <a:latin typeface="Bahnschrift Condensed" panose="020B0502040204020203" pitchFamily="34" charset="0"/>
          </a:endParaRPr>
        </a:p>
        <a:p>
          <a:pPr algn="ctr"/>
          <a:r>
            <a:rPr lang="es-MX" sz="1400" b="1" i="0" baseline="0">
              <a:solidFill>
                <a:srgbClr val="E7E8E9"/>
              </a:solidFill>
              <a:latin typeface="Bahnschrift Condensed" panose="020B0502040204020203" pitchFamily="34" charset="0"/>
            </a:rPr>
            <a:t>Track your tasks and view history</a:t>
          </a:r>
          <a:endParaRPr lang="es-MX" sz="1400" b="1" i="0">
            <a:solidFill>
              <a:srgbClr val="E7E8E9"/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7</xdr:col>
      <xdr:colOff>579121</xdr:colOff>
      <xdr:row>10</xdr:row>
      <xdr:rowOff>15240</xdr:rowOff>
    </xdr:from>
    <xdr:to>
      <xdr:col>9</xdr:col>
      <xdr:colOff>655320</xdr:colOff>
      <xdr:row>15</xdr:row>
      <xdr:rowOff>129540</xdr:rowOff>
    </xdr:to>
    <xdr:sp macro="" textlink="">
      <xdr:nvSpPr>
        <xdr:cNvPr id="5" name="Rectángulo: esquinas redondeada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FBD89A-0816-4BB5-9A26-16D9D51D16CC}"/>
            </a:ext>
          </a:extLst>
        </xdr:cNvPr>
        <xdr:cNvSpPr/>
      </xdr:nvSpPr>
      <xdr:spPr>
        <a:xfrm>
          <a:off x="5875021" y="1120140"/>
          <a:ext cx="1592579" cy="1028700"/>
        </a:xfrm>
        <a:prstGeom prst="roundRect">
          <a:avLst>
            <a:gd name="adj" fmla="val 17356"/>
          </a:avLst>
        </a:prstGeom>
        <a:solidFill>
          <a:srgbClr val="23282E"/>
        </a:solidFill>
        <a:ln>
          <a:solidFill>
            <a:srgbClr val="5DBB8A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000" b="1" i="0">
              <a:solidFill>
                <a:srgbClr val="5DBB8A"/>
              </a:solidFill>
              <a:latin typeface="Bahnschrift Condensed" panose="020B0502040204020203" pitchFamily="34" charset="0"/>
            </a:rPr>
            <a:t>📚 BOOKS</a:t>
          </a:r>
        </a:p>
        <a:p>
          <a:pPr algn="ctr"/>
          <a:endParaRPr lang="es-MX" sz="300" b="1" i="0" baseline="0">
            <a:solidFill>
              <a:srgbClr val="5DBB8A"/>
            </a:solidFill>
            <a:latin typeface="Bahnschrift Condensed" panose="020B0502040204020203" pitchFamily="34" charset="0"/>
          </a:endParaRPr>
        </a:p>
        <a:p>
          <a:pPr algn="ctr"/>
          <a:r>
            <a:rPr lang="es-MX" sz="1400" b="1" i="0" baseline="0">
              <a:solidFill>
                <a:srgbClr val="E7E8E9"/>
              </a:solidFill>
              <a:latin typeface="Bahnschrift Condensed" panose="020B0502040204020203" pitchFamily="34" charset="0"/>
            </a:rPr>
            <a:t>Track books </a:t>
          </a:r>
        </a:p>
        <a:p>
          <a:pPr algn="ctr"/>
          <a:r>
            <a:rPr lang="es-MX" sz="1400" b="1" i="0" baseline="0">
              <a:solidFill>
                <a:srgbClr val="E7E8E9"/>
              </a:solidFill>
              <a:latin typeface="Bahnschrift Condensed" panose="020B0502040204020203" pitchFamily="34" charset="0"/>
            </a:rPr>
            <a:t>you read</a:t>
          </a:r>
        </a:p>
      </xdr:txBody>
    </xdr:sp>
    <xdr:clientData/>
  </xdr:twoCellAnchor>
  <xdr:twoCellAnchor>
    <xdr:from>
      <xdr:col>0</xdr:col>
      <xdr:colOff>769620</xdr:colOff>
      <xdr:row>14</xdr:row>
      <xdr:rowOff>114300</xdr:rowOff>
    </xdr:from>
    <xdr:to>
      <xdr:col>4</xdr:col>
      <xdr:colOff>53340</xdr:colOff>
      <xdr:row>25</xdr:row>
      <xdr:rowOff>137160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61C5130E-AA67-6BCE-88D5-CB26DB30EF35}"/>
            </a:ext>
          </a:extLst>
        </xdr:cNvPr>
        <xdr:cNvSpPr/>
      </xdr:nvSpPr>
      <xdr:spPr>
        <a:xfrm>
          <a:off x="769620" y="1950720"/>
          <a:ext cx="2560320" cy="2194560"/>
        </a:xfrm>
        <a:prstGeom prst="roundRect">
          <a:avLst>
            <a:gd name="adj" fmla="val 6548"/>
          </a:avLst>
        </a:prstGeom>
        <a:solidFill>
          <a:srgbClr val="1D2227"/>
        </a:solidFill>
        <a:ln>
          <a:solidFill>
            <a:srgbClr val="3C404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>
              <a:latin typeface="Bahnschrift SemiCondensed" panose="020B0502040204020203" pitchFamily="34" charset="0"/>
            </a:rPr>
            <a:t>THE FILE is an all-in-one personal operating system built in Excel.</a:t>
          </a:r>
        </a:p>
        <a:p>
          <a:pPr algn="l"/>
          <a:endParaRPr lang="es-MX" sz="1200">
            <a:latin typeface="Bahnschrift SemiCondensed" panose="020B0502040204020203" pitchFamily="34" charset="0"/>
          </a:endParaRPr>
        </a:p>
        <a:p>
          <a:pPr algn="l"/>
          <a:r>
            <a:rPr lang="es-MX" sz="1200">
              <a:latin typeface="Bahnschrift SemiCondensed" panose="020B0502040204020203" pitchFamily="34" charset="0"/>
            </a:rPr>
            <a:t>Track:</a:t>
          </a:r>
        </a:p>
        <a:p>
          <a:pPr algn="l"/>
          <a:endParaRPr lang="es-MX" sz="1200">
            <a:latin typeface="Bahnschrift SemiCondensed" panose="020B0502040204020203" pitchFamily="34" charset="0"/>
          </a:endParaRPr>
        </a:p>
        <a:p>
          <a:r>
            <a:rPr lang="es-MX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✓ TASKS</a:t>
          </a:r>
          <a:endParaRPr lang="en-US" sz="1200">
            <a:effectLst/>
          </a:endParaRPr>
        </a:p>
        <a:p>
          <a:r>
            <a:rPr lang="es-MX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📚 BOOKS</a:t>
          </a:r>
          <a:endParaRPr lang="en-US" sz="1200">
            <a:effectLst/>
          </a:endParaRPr>
        </a:p>
        <a:p>
          <a:r>
            <a:rPr lang="es-MX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🎯 Projects</a:t>
          </a:r>
          <a:endParaRPr lang="en-US" sz="1200">
            <a:effectLst/>
          </a:endParaRPr>
        </a:p>
        <a:p>
          <a:pPr algn="l"/>
          <a:endParaRPr lang="es-MX" sz="1200">
            <a:latin typeface="Bahnschrift SemiCondensed" panose="020B0502040204020203" pitchFamily="34" charset="0"/>
          </a:endParaRPr>
        </a:p>
        <a:p>
          <a:pPr algn="l"/>
          <a:r>
            <a:rPr lang="es-MX" sz="1200">
              <a:latin typeface="Bahnschrift SemiCondensed" panose="020B0502040204020203" pitchFamily="34" charset="0"/>
            </a:rPr>
            <a:t>Designed to help you organize your life from a single workspace.</a:t>
          </a:r>
        </a:p>
      </xdr:txBody>
    </xdr:sp>
    <xdr:clientData/>
  </xdr:twoCellAnchor>
  <xdr:twoCellAnchor>
    <xdr:from>
      <xdr:col>5</xdr:col>
      <xdr:colOff>624840</xdr:colOff>
      <xdr:row>6</xdr:row>
      <xdr:rowOff>68580</xdr:rowOff>
    </xdr:from>
    <xdr:to>
      <xdr:col>11</xdr:col>
      <xdr:colOff>914400</xdr:colOff>
      <xdr:row>9</xdr:row>
      <xdr:rowOff>30480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69D3DAB0-DDB1-7C1E-E505-B92B4CF0A21D}"/>
            </a:ext>
          </a:extLst>
        </xdr:cNvPr>
        <xdr:cNvSpPr/>
      </xdr:nvSpPr>
      <xdr:spPr>
        <a:xfrm>
          <a:off x="4404360" y="434340"/>
          <a:ext cx="4838700" cy="518160"/>
        </a:xfrm>
        <a:prstGeom prst="roundRect">
          <a:avLst>
            <a:gd name="adj" fmla="val 6373"/>
          </a:avLst>
        </a:prstGeom>
        <a:gradFill flip="none" rotWithShape="1">
          <a:gsLst>
            <a:gs pos="0">
              <a:srgbClr val="3C4045"/>
            </a:gs>
            <a:gs pos="73000">
              <a:srgbClr val="1D222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400">
              <a:latin typeface="Bahnschrift SemiCondensed" panose="020B0502040204020203" pitchFamily="34" charset="0"/>
            </a:rPr>
            <a:t>Click on</a:t>
          </a:r>
          <a:r>
            <a:rPr lang="es-MX" sz="1400" baseline="0">
              <a:latin typeface="Bahnschrift SemiCondensed" panose="020B0502040204020203" pitchFamily="34" charset="0"/>
            </a:rPr>
            <a:t> any button to navigate to the desired page</a:t>
          </a:r>
          <a:endParaRPr lang="es-MX" sz="1400">
            <a:latin typeface="Bahnschrift SemiCondensed" panose="020B0502040204020203" pitchFamily="34" charset="0"/>
          </a:endParaRPr>
        </a:p>
      </xdr:txBody>
    </xdr:sp>
    <xdr:clientData/>
  </xdr:twoCellAnchor>
  <xdr:twoCellAnchor>
    <xdr:from>
      <xdr:col>1</xdr:col>
      <xdr:colOff>22860</xdr:colOff>
      <xdr:row>11</xdr:row>
      <xdr:rowOff>106680</xdr:rowOff>
    </xdr:from>
    <xdr:to>
      <xdr:col>4</xdr:col>
      <xdr:colOff>0</xdr:colOff>
      <xdr:row>11</xdr:row>
      <xdr:rowOff>106680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83C2356-20C4-4167-92BD-5F74A873ED2A}"/>
            </a:ext>
          </a:extLst>
        </xdr:cNvPr>
        <xdr:cNvCxnSpPr/>
      </xdr:nvCxnSpPr>
      <xdr:spPr>
        <a:xfrm>
          <a:off x="815340" y="1394460"/>
          <a:ext cx="2461260" cy="0"/>
        </a:xfrm>
        <a:prstGeom prst="line">
          <a:avLst/>
        </a:prstGeom>
        <a:ln>
          <a:solidFill>
            <a:srgbClr val="E7E8E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1037925</xdr:colOff>
      <xdr:row>10</xdr:row>
      <xdr:rowOff>17646</xdr:rowOff>
    </xdr:from>
    <xdr:to>
      <xdr:col>11</xdr:col>
      <xdr:colOff>1114124</xdr:colOff>
      <xdr:row>15</xdr:row>
      <xdr:rowOff>131946</xdr:rowOff>
    </xdr:to>
    <xdr:sp macro="" textlink="">
      <xdr:nvSpPr>
        <xdr:cNvPr id="16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776C78-CAE2-494A-B3DC-CEA392880D97}"/>
            </a:ext>
          </a:extLst>
        </xdr:cNvPr>
        <xdr:cNvSpPr/>
      </xdr:nvSpPr>
      <xdr:spPr>
        <a:xfrm>
          <a:off x="7850205" y="1122546"/>
          <a:ext cx="1592579" cy="1028700"/>
        </a:xfrm>
        <a:prstGeom prst="roundRect">
          <a:avLst>
            <a:gd name="adj" fmla="val 17356"/>
          </a:avLst>
        </a:prstGeom>
        <a:solidFill>
          <a:srgbClr val="23282E"/>
        </a:solidFill>
        <a:ln>
          <a:solidFill>
            <a:srgbClr val="9B7FD4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000" b="1" i="0">
              <a:solidFill>
                <a:srgbClr val="9B7FD4"/>
              </a:solidFill>
              <a:latin typeface="Bahnschrift Condensed" panose="020B0502040204020203" pitchFamily="34" charset="0"/>
            </a:rPr>
            <a:t>🎯 Projects</a:t>
          </a:r>
        </a:p>
        <a:p>
          <a:pPr algn="ctr"/>
          <a:endParaRPr lang="es-MX" sz="300" b="1" i="0" baseline="0">
            <a:solidFill>
              <a:srgbClr val="5DBB8A"/>
            </a:solidFill>
            <a:latin typeface="Bahnschrift Condensed" panose="020B0502040204020203" pitchFamily="34" charset="0"/>
          </a:endParaRPr>
        </a:p>
        <a:p>
          <a:pPr algn="ctr"/>
          <a:r>
            <a:rPr lang="es-MX" sz="1400" b="1" i="0" baseline="0">
              <a:solidFill>
                <a:srgbClr val="E7E8E9"/>
              </a:solidFill>
              <a:latin typeface="Bahnschrift Condensed" panose="020B0502040204020203" pitchFamily="34" charset="0"/>
            </a:rPr>
            <a:t>Track your long-term projects and goals</a:t>
          </a:r>
        </a:p>
      </xdr:txBody>
    </xdr:sp>
    <xdr:clientData/>
  </xdr:twoCellAnchor>
  <xdr:twoCellAnchor>
    <xdr:from>
      <xdr:col>4</xdr:col>
      <xdr:colOff>487680</xdr:colOff>
      <xdr:row>16</xdr:row>
      <xdr:rowOff>121920</xdr:rowOff>
    </xdr:from>
    <xdr:to>
      <xdr:col>7</xdr:col>
      <xdr:colOff>373380</xdr:colOff>
      <xdr:row>16</xdr:row>
      <xdr:rowOff>121920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8F55C06-719B-4CB1-B0B5-C7F7D6D12060}"/>
            </a:ext>
          </a:extLst>
        </xdr:cNvPr>
        <xdr:cNvCxnSpPr/>
      </xdr:nvCxnSpPr>
      <xdr:spPr>
        <a:xfrm>
          <a:off x="3764280" y="2324100"/>
          <a:ext cx="1905000" cy="0"/>
        </a:xfrm>
        <a:prstGeom prst="line">
          <a:avLst/>
        </a:prstGeom>
        <a:ln>
          <a:solidFill>
            <a:srgbClr val="E7E8E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868680</xdr:colOff>
      <xdr:row>16</xdr:row>
      <xdr:rowOff>121920</xdr:rowOff>
    </xdr:from>
    <xdr:to>
      <xdr:col>11</xdr:col>
      <xdr:colOff>1257300</xdr:colOff>
      <xdr:row>16</xdr:row>
      <xdr:rowOff>121920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7A1729D8-5485-0D37-5EF2-2CC972F26AAC}"/>
            </a:ext>
          </a:extLst>
        </xdr:cNvPr>
        <xdr:cNvCxnSpPr/>
      </xdr:nvCxnSpPr>
      <xdr:spPr>
        <a:xfrm>
          <a:off x="7680960" y="2324100"/>
          <a:ext cx="1905000" cy="0"/>
        </a:xfrm>
        <a:prstGeom prst="line">
          <a:avLst/>
        </a:prstGeom>
        <a:ln>
          <a:solidFill>
            <a:srgbClr val="E7E8E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883920</xdr:colOff>
      <xdr:row>15</xdr:row>
      <xdr:rowOff>167640</xdr:rowOff>
    </xdr:from>
    <xdr:to>
      <xdr:col>9</xdr:col>
      <xdr:colOff>381000</xdr:colOff>
      <xdr:row>17</xdr:row>
      <xdr:rowOff>76200</xdr:rowOff>
    </xdr:to>
    <xdr:sp macro="" textlink="">
      <xdr:nvSpPr>
        <xdr:cNvPr id="23" name="Rectángulo: esquinas redondeadas 6">
          <a:extLst>
            <a:ext uri="{FF2B5EF4-FFF2-40B4-BE49-F238E27FC236}">
              <a16:creationId xmlns:a16="http://schemas.microsoft.com/office/drawing/2014/main" id="{8AEDDA24-60B1-0D6B-FC14-8A139BF1CAF9}"/>
            </a:ext>
          </a:extLst>
        </xdr:cNvPr>
        <xdr:cNvSpPr/>
      </xdr:nvSpPr>
      <xdr:spPr>
        <a:xfrm>
          <a:off x="6179820" y="2186940"/>
          <a:ext cx="1013460" cy="274320"/>
        </a:xfrm>
        <a:prstGeom prst="roundRect">
          <a:avLst>
            <a:gd name="adj" fmla="val 637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400">
              <a:latin typeface="Bahnschrift SemiCondensed" panose="020B0502040204020203" pitchFamily="34" charset="0"/>
            </a:rPr>
            <a:t>OVERVIEW</a:t>
          </a:r>
        </a:p>
      </xdr:txBody>
    </xdr:sp>
    <xdr:clientData/>
  </xdr:twoCellAnchor>
  <xdr:twoCellAnchor>
    <xdr:from>
      <xdr:col>11</xdr:col>
      <xdr:colOff>914400</xdr:colOff>
      <xdr:row>5</xdr:row>
      <xdr:rowOff>22861</xdr:rowOff>
    </xdr:from>
    <xdr:to>
      <xdr:col>17</xdr:col>
      <xdr:colOff>279250</xdr:colOff>
      <xdr:row>16</xdr:row>
      <xdr:rowOff>175261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AFE29CC-D203-4631-A225-4B23005EC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114300</xdr:colOff>
      <xdr:row>17</xdr:row>
      <xdr:rowOff>121920</xdr:rowOff>
    </xdr:from>
    <xdr:to>
      <xdr:col>17</xdr:col>
      <xdr:colOff>57443</xdr:colOff>
      <xdr:row>29</xdr:row>
      <xdr:rowOff>76200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B3E0BBD-E028-4525-BFD0-E749F907A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346486</xdr:colOff>
      <xdr:row>9</xdr:row>
      <xdr:rowOff>129540</xdr:rowOff>
    </xdr:from>
    <xdr:to>
      <xdr:col>14</xdr:col>
      <xdr:colOff>107576</xdr:colOff>
      <xdr:row>21</xdr:row>
      <xdr:rowOff>205739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692119-1DB9-4E99-BD45-1D1FD1E38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190500</xdr:colOff>
      <xdr:row>4</xdr:row>
      <xdr:rowOff>45719</xdr:rowOff>
    </xdr:from>
    <xdr:to>
      <xdr:col>1</xdr:col>
      <xdr:colOff>1333500</xdr:colOff>
      <xdr:row>7</xdr:row>
      <xdr:rowOff>7620</xdr:rowOff>
    </xdr:to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2968DA-72C5-4600-A4A1-ECE00FC62530}"/>
            </a:ext>
          </a:extLst>
        </xdr:cNvPr>
        <xdr:cNvSpPr/>
      </xdr:nvSpPr>
      <xdr:spPr>
        <a:xfrm>
          <a:off x="327660" y="1043939"/>
          <a:ext cx="1143000" cy="640081"/>
        </a:xfrm>
        <a:prstGeom prst="roundRect">
          <a:avLst>
            <a:gd name="adj" fmla="val 19210"/>
          </a:avLst>
        </a:prstGeom>
        <a:solidFill>
          <a:srgbClr val="1B1C25"/>
        </a:solidFill>
        <a:ln>
          <a:solidFill>
            <a:srgbClr val="26233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400" b="1" i="0">
              <a:solidFill>
                <a:srgbClr val="A092AC"/>
              </a:solidFill>
              <a:latin typeface="Bahnschrift Condensed" panose="020B0502040204020203" pitchFamily="34" charset="0"/>
            </a:rPr>
            <a:t>🔙 </a:t>
          </a:r>
        </a:p>
        <a:p>
          <a:pPr algn="ctr"/>
          <a:r>
            <a:rPr lang="es-MX" sz="1400" b="1" i="0">
              <a:solidFill>
                <a:srgbClr val="D7D2DC"/>
              </a:solidFill>
              <a:latin typeface="Bahnschrift Condensed" panose="020B0502040204020203" pitchFamily="34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167640</xdr:colOff>
      <xdr:row>9</xdr:row>
      <xdr:rowOff>53340</xdr:rowOff>
    </xdr:from>
    <xdr:to>
      <xdr:col>1</xdr:col>
      <xdr:colOff>1356360</xdr:colOff>
      <xdr:row>11</xdr:row>
      <xdr:rowOff>68580</xdr:rowOff>
    </xdr:to>
    <xdr:sp macro="" textlink="">
      <xdr:nvSpPr>
        <xdr:cNvPr id="9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88FDB3-BA79-48FC-852B-E08294ADE147}"/>
            </a:ext>
          </a:extLst>
        </xdr:cNvPr>
        <xdr:cNvSpPr/>
      </xdr:nvSpPr>
      <xdr:spPr>
        <a:xfrm>
          <a:off x="304800" y="2186940"/>
          <a:ext cx="1188720" cy="472440"/>
        </a:xfrm>
        <a:prstGeom prst="roundRect">
          <a:avLst>
            <a:gd name="adj" fmla="val 15028"/>
          </a:avLst>
        </a:prstGeom>
        <a:solidFill>
          <a:schemeClr val="accent2"/>
        </a:solidFill>
        <a:ln>
          <a:solidFill>
            <a:srgbClr val="5491E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 b="1" i="0">
              <a:solidFill>
                <a:srgbClr val="0C1D2E"/>
              </a:solidFill>
              <a:latin typeface="Bahnschrift Condensed" panose="020B0502040204020203" pitchFamily="34" charset="0"/>
            </a:rPr>
            <a:t>✓ TASKS</a:t>
          </a:r>
          <a:endParaRPr lang="es-MX" sz="1800" b="1" i="0" baseline="0">
            <a:solidFill>
              <a:srgbClr val="0C1D2E"/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167640</xdr:colOff>
      <xdr:row>12</xdr:row>
      <xdr:rowOff>114300</xdr:rowOff>
    </xdr:from>
    <xdr:to>
      <xdr:col>1</xdr:col>
      <xdr:colOff>1356360</xdr:colOff>
      <xdr:row>14</xdr:row>
      <xdr:rowOff>144780</xdr:rowOff>
    </xdr:to>
    <xdr:sp macro="" textlink="">
      <xdr:nvSpPr>
        <xdr:cNvPr id="10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949B95A-BBFC-47D8-A4AE-84D7ADE8550C}"/>
            </a:ext>
          </a:extLst>
        </xdr:cNvPr>
        <xdr:cNvSpPr/>
      </xdr:nvSpPr>
      <xdr:spPr>
        <a:xfrm>
          <a:off x="304800" y="2933700"/>
          <a:ext cx="1188720" cy="48768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5DBB8A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 b="1" i="0">
              <a:solidFill>
                <a:srgbClr val="5DBB8A"/>
              </a:solidFill>
              <a:latin typeface="Bahnschrift Condensed" panose="020B0502040204020203" pitchFamily="34" charset="0"/>
            </a:rPr>
            <a:t>📚 BOOKS</a:t>
          </a:r>
        </a:p>
      </xdr:txBody>
    </xdr:sp>
    <xdr:clientData/>
  </xdr:twoCellAnchor>
  <xdr:twoCellAnchor>
    <xdr:from>
      <xdr:col>0</xdr:col>
      <xdr:colOff>68580</xdr:colOff>
      <xdr:row>0</xdr:row>
      <xdr:rowOff>137160</xdr:rowOff>
    </xdr:from>
    <xdr:to>
      <xdr:col>2</xdr:col>
      <xdr:colOff>121920</xdr:colOff>
      <xdr:row>3</xdr:row>
      <xdr:rowOff>114300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66AE62B-E19C-4FF0-A209-76BCCCB3CB9C}"/>
            </a:ext>
          </a:extLst>
        </xdr:cNvPr>
        <xdr:cNvSpPr/>
      </xdr:nvSpPr>
      <xdr:spPr>
        <a:xfrm>
          <a:off x="68580" y="137160"/>
          <a:ext cx="1744980" cy="792480"/>
        </a:xfrm>
        <a:prstGeom prst="roundRect">
          <a:avLst/>
        </a:prstGeom>
        <a:solidFill>
          <a:srgbClr val="1D22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latin typeface="Bahnschrift Condensed" panose="020B0502040204020203" pitchFamily="34" charset="0"/>
            </a:rPr>
            <a:t>THE</a:t>
          </a:r>
          <a:r>
            <a:rPr lang="en-US" sz="2800" baseline="0">
              <a:latin typeface="Bahnschrift Condensed" panose="020B0502040204020203" pitchFamily="34" charset="0"/>
            </a:rPr>
            <a:t> FILE</a:t>
          </a:r>
        </a:p>
        <a:p>
          <a:pPr algn="ctr"/>
          <a:r>
            <a:rPr lang="en-US" sz="1100" baseline="0">
              <a:solidFill>
                <a:srgbClr val="5191D2"/>
              </a:solidFill>
              <a:latin typeface="Bahnschrift" panose="020B0502040204020203" pitchFamily="34" charset="0"/>
            </a:rPr>
            <a:t>Everything in one place</a:t>
          </a:r>
          <a:endParaRPr lang="en-US" sz="1100">
            <a:solidFill>
              <a:srgbClr val="5191D2"/>
            </a:solidFill>
            <a:latin typeface="Bahnschrift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167640</xdr:colOff>
      <xdr:row>15</xdr:row>
      <xdr:rowOff>198120</xdr:rowOff>
    </xdr:from>
    <xdr:to>
      <xdr:col>1</xdr:col>
      <xdr:colOff>1356360</xdr:colOff>
      <xdr:row>18</xdr:row>
      <xdr:rowOff>0</xdr:rowOff>
    </xdr:to>
    <xdr:sp macro="" textlink="">
      <xdr:nvSpPr>
        <xdr:cNvPr id="3" name="Rectángulo: esquinas redondeada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E33BAF5-BAEC-4767-9810-703486EB0696}"/>
            </a:ext>
          </a:extLst>
        </xdr:cNvPr>
        <xdr:cNvSpPr/>
      </xdr:nvSpPr>
      <xdr:spPr>
        <a:xfrm>
          <a:off x="304800" y="3703320"/>
          <a:ext cx="1188720" cy="48768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9B7FD4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 i="0" baseline="0">
              <a:solidFill>
                <a:srgbClr val="9B7FD4"/>
              </a:solidFill>
              <a:latin typeface="Bahnschrift Condensed" panose="020B0502040204020203" pitchFamily="34" charset="0"/>
            </a:rPr>
            <a:t>🎯PROJECTS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137160</xdr:rowOff>
    </xdr:from>
    <xdr:to>
      <xdr:col>2</xdr:col>
      <xdr:colOff>121920</xdr:colOff>
      <xdr:row>3</xdr:row>
      <xdr:rowOff>76200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4A7F6E93-A255-A791-A743-04F86599217C}"/>
            </a:ext>
          </a:extLst>
        </xdr:cNvPr>
        <xdr:cNvSpPr>
          <a:spLocks noChangeAspect="1"/>
        </xdr:cNvSpPr>
      </xdr:nvSpPr>
      <xdr:spPr>
        <a:xfrm>
          <a:off x="68580" y="137160"/>
          <a:ext cx="1744980" cy="792480"/>
        </a:xfrm>
        <a:prstGeom prst="roundRect">
          <a:avLst/>
        </a:prstGeom>
        <a:solidFill>
          <a:srgbClr val="1D22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latin typeface="Bahnschrift Condensed" panose="020B0502040204020203" pitchFamily="34" charset="0"/>
            </a:rPr>
            <a:t>THE</a:t>
          </a:r>
          <a:r>
            <a:rPr lang="en-US" sz="2800" baseline="0">
              <a:latin typeface="Bahnschrift Condensed" panose="020B0502040204020203" pitchFamily="34" charset="0"/>
            </a:rPr>
            <a:t> FILE</a:t>
          </a:r>
        </a:p>
        <a:p>
          <a:pPr algn="ctr"/>
          <a:r>
            <a:rPr lang="en-US" sz="1100" baseline="0">
              <a:solidFill>
                <a:srgbClr val="5191D2"/>
              </a:solidFill>
              <a:latin typeface="Bahnschrift" panose="020B0502040204020203" pitchFamily="34" charset="0"/>
            </a:rPr>
            <a:t>Everything in one place</a:t>
          </a:r>
          <a:endParaRPr lang="en-US" sz="1100">
            <a:solidFill>
              <a:srgbClr val="5191D2"/>
            </a:solidFill>
            <a:latin typeface="Bahnschrift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190500</xdr:colOff>
      <xdr:row>3</xdr:row>
      <xdr:rowOff>190500</xdr:rowOff>
    </xdr:from>
    <xdr:to>
      <xdr:col>1</xdr:col>
      <xdr:colOff>1333500</xdr:colOff>
      <xdr:row>5</xdr:row>
      <xdr:rowOff>182881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AD16C0-AE50-4DEC-BC8B-FDEE5248DE99}"/>
            </a:ext>
          </a:extLst>
        </xdr:cNvPr>
        <xdr:cNvSpPr/>
      </xdr:nvSpPr>
      <xdr:spPr>
        <a:xfrm>
          <a:off x="327660" y="1043940"/>
          <a:ext cx="1143000" cy="640081"/>
        </a:xfrm>
        <a:prstGeom prst="roundRect">
          <a:avLst>
            <a:gd name="adj" fmla="val 19210"/>
          </a:avLst>
        </a:prstGeom>
        <a:solidFill>
          <a:srgbClr val="1B1C25"/>
        </a:solidFill>
        <a:ln>
          <a:solidFill>
            <a:srgbClr val="26233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400" b="1" i="0">
              <a:solidFill>
                <a:srgbClr val="A092AC"/>
              </a:solidFill>
              <a:latin typeface="Bahnschrift Condensed" panose="020B0502040204020203" pitchFamily="34" charset="0"/>
            </a:rPr>
            <a:t>🔙 </a:t>
          </a:r>
        </a:p>
        <a:p>
          <a:pPr algn="ctr"/>
          <a:r>
            <a:rPr lang="es-MX" sz="1400" b="1" i="0">
              <a:solidFill>
                <a:srgbClr val="D7D2DC"/>
              </a:solidFill>
              <a:latin typeface="Bahnschrift Condensed" panose="020B0502040204020203" pitchFamily="34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167640</xdr:colOff>
      <xdr:row>6</xdr:row>
      <xdr:rowOff>205741</xdr:rowOff>
    </xdr:from>
    <xdr:to>
      <xdr:col>1</xdr:col>
      <xdr:colOff>1356360</xdr:colOff>
      <xdr:row>7</xdr:row>
      <xdr:rowOff>198121</xdr:rowOff>
    </xdr:to>
    <xdr:sp macro="" textlink="">
      <xdr:nvSpPr>
        <xdr:cNvPr id="3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25AC61-D300-44B5-AF77-3D5E768039AA}"/>
            </a:ext>
          </a:extLst>
        </xdr:cNvPr>
        <xdr:cNvSpPr/>
      </xdr:nvSpPr>
      <xdr:spPr>
        <a:xfrm>
          <a:off x="304800" y="2186941"/>
          <a:ext cx="1188720" cy="47244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5491E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 b="1" i="0">
              <a:solidFill>
                <a:srgbClr val="5191D2"/>
              </a:solidFill>
              <a:latin typeface="Bahnschrift Condensed" panose="020B0502040204020203" pitchFamily="34" charset="0"/>
            </a:rPr>
            <a:t>✓ TASKS</a:t>
          </a:r>
          <a:endParaRPr lang="es-MX" sz="1800" b="1" i="0" baseline="0">
            <a:solidFill>
              <a:srgbClr val="5191D2"/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167640</xdr:colOff>
      <xdr:row>7</xdr:row>
      <xdr:rowOff>472441</xdr:rowOff>
    </xdr:from>
    <xdr:to>
      <xdr:col>1</xdr:col>
      <xdr:colOff>1356360</xdr:colOff>
      <xdr:row>9</xdr:row>
      <xdr:rowOff>1</xdr:rowOff>
    </xdr:to>
    <xdr:sp macro="" textlink="">
      <xdr:nvSpPr>
        <xdr:cNvPr id="4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7E9FC4-4F56-437B-A5CA-3D04748A8042}"/>
            </a:ext>
          </a:extLst>
        </xdr:cNvPr>
        <xdr:cNvSpPr/>
      </xdr:nvSpPr>
      <xdr:spPr>
        <a:xfrm>
          <a:off x="304800" y="2933701"/>
          <a:ext cx="1188720" cy="487680"/>
        </a:xfrm>
        <a:prstGeom prst="roundRect">
          <a:avLst>
            <a:gd name="adj" fmla="val 15028"/>
          </a:avLst>
        </a:prstGeom>
        <a:solidFill>
          <a:srgbClr val="5DBB8A"/>
        </a:solidFill>
        <a:ln>
          <a:solidFill>
            <a:srgbClr val="5DBB8A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 b="1" i="0">
              <a:solidFill>
                <a:srgbClr val="11291C"/>
              </a:solidFill>
              <a:latin typeface="Bahnschrift Condensed" panose="020B0502040204020203" pitchFamily="34" charset="0"/>
            </a:rPr>
            <a:t>📚 BOOKS</a:t>
          </a:r>
        </a:p>
      </xdr:txBody>
    </xdr:sp>
    <xdr:clientData/>
  </xdr:twoCellAnchor>
  <xdr:twoCellAnchor editAs="absolute">
    <xdr:from>
      <xdr:col>1</xdr:col>
      <xdr:colOff>167640</xdr:colOff>
      <xdr:row>9</xdr:row>
      <xdr:rowOff>281941</xdr:rowOff>
    </xdr:from>
    <xdr:to>
      <xdr:col>1</xdr:col>
      <xdr:colOff>1356360</xdr:colOff>
      <xdr:row>10</xdr:row>
      <xdr:rowOff>289561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F52406-0C6C-42DA-98D0-2713AC6E09A2}"/>
            </a:ext>
          </a:extLst>
        </xdr:cNvPr>
        <xdr:cNvSpPr/>
      </xdr:nvSpPr>
      <xdr:spPr>
        <a:xfrm>
          <a:off x="304800" y="3703321"/>
          <a:ext cx="1188720" cy="48768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9B7FD4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 i="0" baseline="0">
              <a:solidFill>
                <a:srgbClr val="9B7FD4"/>
              </a:solidFill>
              <a:latin typeface="Bahnschrift Condensed" panose="020B0502040204020203" pitchFamily="34" charset="0"/>
            </a:rPr>
            <a:t>🎯PROJECTS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68580</xdr:colOff>
      <xdr:row>0</xdr:row>
      <xdr:rowOff>137160</xdr:rowOff>
    </xdr:from>
    <xdr:to>
      <xdr:col>2</xdr:col>
      <xdr:colOff>121920</xdr:colOff>
      <xdr:row>3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E8CE067-BB92-4A12-8928-6C738239E0C4}"/>
            </a:ext>
          </a:extLst>
        </xdr:cNvPr>
        <xdr:cNvSpPr/>
      </xdr:nvSpPr>
      <xdr:spPr>
        <a:xfrm>
          <a:off x="68580" y="6385560"/>
          <a:ext cx="1744980" cy="792480"/>
        </a:xfrm>
        <a:prstGeom prst="roundRect">
          <a:avLst/>
        </a:prstGeom>
        <a:solidFill>
          <a:srgbClr val="1D22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latin typeface="Bahnschrift Condensed" panose="020B0502040204020203" pitchFamily="34" charset="0"/>
            </a:rPr>
            <a:t>THE</a:t>
          </a:r>
          <a:r>
            <a:rPr lang="en-US" sz="2800" baseline="0">
              <a:latin typeface="Bahnschrift Condensed" panose="020B0502040204020203" pitchFamily="34" charset="0"/>
            </a:rPr>
            <a:t> FILE</a:t>
          </a:r>
        </a:p>
        <a:p>
          <a:pPr algn="ctr"/>
          <a:r>
            <a:rPr lang="en-US" sz="1100" baseline="0">
              <a:solidFill>
                <a:srgbClr val="5191D2"/>
              </a:solidFill>
              <a:latin typeface="Bahnschrift" panose="020B0502040204020203" pitchFamily="34" charset="0"/>
            </a:rPr>
            <a:t>Everything in one place</a:t>
          </a:r>
          <a:endParaRPr lang="en-US" sz="1100">
            <a:solidFill>
              <a:srgbClr val="5191D2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10</xdr:col>
      <xdr:colOff>53339</xdr:colOff>
      <xdr:row>6</xdr:row>
      <xdr:rowOff>45720</xdr:rowOff>
    </xdr:from>
    <xdr:to>
      <xdr:col>13</xdr:col>
      <xdr:colOff>735622</xdr:colOff>
      <xdr:row>11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F403A94-9A63-4F7D-B851-FD02D404F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190500</xdr:colOff>
      <xdr:row>4</xdr:row>
      <xdr:rowOff>22860</xdr:rowOff>
    </xdr:from>
    <xdr:to>
      <xdr:col>1</xdr:col>
      <xdr:colOff>1333500</xdr:colOff>
      <xdr:row>6</xdr:row>
      <xdr:rowOff>220981</xdr:rowOff>
    </xdr:to>
    <xdr:sp macro="" textlink="">
      <xdr:nvSpPr>
        <xdr:cNvPr id="5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3422D0-488F-4494-BC99-4BB57EC96409}"/>
            </a:ext>
          </a:extLst>
        </xdr:cNvPr>
        <xdr:cNvSpPr/>
      </xdr:nvSpPr>
      <xdr:spPr>
        <a:xfrm>
          <a:off x="327660" y="1043940"/>
          <a:ext cx="1143000" cy="640081"/>
        </a:xfrm>
        <a:prstGeom prst="roundRect">
          <a:avLst>
            <a:gd name="adj" fmla="val 19210"/>
          </a:avLst>
        </a:prstGeom>
        <a:solidFill>
          <a:srgbClr val="1B1C25"/>
        </a:solidFill>
        <a:ln>
          <a:solidFill>
            <a:srgbClr val="26233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400" b="1" i="0">
              <a:solidFill>
                <a:srgbClr val="A092AC"/>
              </a:solidFill>
              <a:latin typeface="Bahnschrift Condensed" panose="020B0502040204020203" pitchFamily="34" charset="0"/>
            </a:rPr>
            <a:t>🔙 </a:t>
          </a:r>
        </a:p>
        <a:p>
          <a:pPr algn="ctr"/>
          <a:r>
            <a:rPr lang="es-MX" sz="1400" b="1" i="0">
              <a:solidFill>
                <a:srgbClr val="D7D2DC"/>
              </a:solidFill>
              <a:latin typeface="Bahnschrift Condensed" panose="020B0502040204020203" pitchFamily="34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167640</xdr:colOff>
      <xdr:row>7</xdr:row>
      <xdr:rowOff>167641</xdr:rowOff>
    </xdr:from>
    <xdr:to>
      <xdr:col>1</xdr:col>
      <xdr:colOff>1356360</xdr:colOff>
      <xdr:row>8</xdr:row>
      <xdr:rowOff>83821</xdr:rowOff>
    </xdr:to>
    <xdr:sp macro="" textlink="">
      <xdr:nvSpPr>
        <xdr:cNvPr id="6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8498D1-963D-4B0D-A668-063FCAB569B7}"/>
            </a:ext>
          </a:extLst>
        </xdr:cNvPr>
        <xdr:cNvSpPr/>
      </xdr:nvSpPr>
      <xdr:spPr>
        <a:xfrm>
          <a:off x="304800" y="2186941"/>
          <a:ext cx="1188720" cy="47244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5491E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 b="1" i="0">
              <a:solidFill>
                <a:srgbClr val="5191D2"/>
              </a:solidFill>
              <a:latin typeface="Bahnschrift Condensed" panose="020B0502040204020203" pitchFamily="34" charset="0"/>
            </a:rPr>
            <a:t>✓ TASKS</a:t>
          </a:r>
          <a:endParaRPr lang="es-MX" sz="1800" b="1" i="0" baseline="0">
            <a:solidFill>
              <a:srgbClr val="5191D2"/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167640</xdr:colOff>
      <xdr:row>8</xdr:row>
      <xdr:rowOff>358141</xdr:rowOff>
    </xdr:from>
    <xdr:to>
      <xdr:col>1</xdr:col>
      <xdr:colOff>1356360</xdr:colOff>
      <xdr:row>9</xdr:row>
      <xdr:rowOff>289561</xdr:rowOff>
    </xdr:to>
    <xdr:sp macro="" textlink="">
      <xdr:nvSpPr>
        <xdr:cNvPr id="7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A546473-E122-48E1-A25B-EAED50DAABB7}"/>
            </a:ext>
          </a:extLst>
        </xdr:cNvPr>
        <xdr:cNvSpPr/>
      </xdr:nvSpPr>
      <xdr:spPr>
        <a:xfrm>
          <a:off x="304800" y="2933701"/>
          <a:ext cx="1188720" cy="487680"/>
        </a:xfrm>
        <a:prstGeom prst="roundRect">
          <a:avLst>
            <a:gd name="adj" fmla="val 15028"/>
          </a:avLst>
        </a:prstGeom>
        <a:solidFill>
          <a:srgbClr val="23282E"/>
        </a:solidFill>
        <a:ln>
          <a:solidFill>
            <a:srgbClr val="5DBB8A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 b="1" i="0">
              <a:solidFill>
                <a:srgbClr val="5DBB8A"/>
              </a:solidFill>
              <a:latin typeface="Bahnschrift Condensed" panose="020B0502040204020203" pitchFamily="34" charset="0"/>
            </a:rPr>
            <a:t>📚 BOOKS</a:t>
          </a:r>
        </a:p>
      </xdr:txBody>
    </xdr:sp>
    <xdr:clientData/>
  </xdr:twoCellAnchor>
  <xdr:twoCellAnchor editAs="absolute">
    <xdr:from>
      <xdr:col>1</xdr:col>
      <xdr:colOff>167640</xdr:colOff>
      <xdr:row>10</xdr:row>
      <xdr:rowOff>15241</xdr:rowOff>
    </xdr:from>
    <xdr:to>
      <xdr:col>1</xdr:col>
      <xdr:colOff>1356360</xdr:colOff>
      <xdr:row>10</xdr:row>
      <xdr:rowOff>502921</xdr:rowOff>
    </xdr:to>
    <xdr:sp macro="" textlink="">
      <xdr:nvSpPr>
        <xdr:cNvPr id="14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61C795A-A839-4400-8778-56EF7F521204}"/>
            </a:ext>
          </a:extLst>
        </xdr:cNvPr>
        <xdr:cNvSpPr/>
      </xdr:nvSpPr>
      <xdr:spPr>
        <a:xfrm>
          <a:off x="304800" y="3703321"/>
          <a:ext cx="1188720" cy="487680"/>
        </a:xfrm>
        <a:prstGeom prst="roundRect">
          <a:avLst>
            <a:gd name="adj" fmla="val 15028"/>
          </a:avLst>
        </a:prstGeom>
        <a:solidFill>
          <a:srgbClr val="9B7FD4"/>
        </a:solidFill>
        <a:ln>
          <a:solidFill>
            <a:srgbClr val="9B7FD4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 i="0" baseline="0">
              <a:solidFill>
                <a:srgbClr val="9B7FD4"/>
              </a:solidFill>
              <a:latin typeface="Bahnschrift Condensed" panose="020B0502040204020203" pitchFamily="34" charset="0"/>
            </a:rPr>
            <a:t>🎯</a:t>
          </a:r>
          <a:r>
            <a:rPr lang="es-MX" sz="1600" b="1" i="0" baseline="0">
              <a:solidFill>
                <a:srgbClr val="281848"/>
              </a:solidFill>
              <a:latin typeface="Bahnschrift Condensed" panose="020B0502040204020203" pitchFamily="34" charset="0"/>
            </a:rPr>
            <a:t>PROJECTS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EC4899"/>
      </a:accent1>
      <a:accent2>
        <a:srgbClr val="4D8CFF"/>
      </a:accent2>
      <a:accent3>
        <a:srgbClr val="F39C12"/>
      </a:accent3>
      <a:accent4>
        <a:srgbClr val="2ECC71"/>
      </a:accent4>
      <a:accent5>
        <a:srgbClr val="9B7FD4"/>
      </a:accent5>
      <a:accent6>
        <a:srgbClr val="26A69A"/>
      </a:accent6>
      <a:hlink>
        <a:srgbClr val="95A5A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336D-A44A-466E-ADFE-999E8BDDF04C}">
  <sheetPr>
    <tabColor rgb="FFE7E8E9"/>
  </sheetPr>
  <dimension ref="A7:P31"/>
  <sheetViews>
    <sheetView showGridLines="0" showRowColHeaders="0" tabSelected="1" zoomScaleNormal="100" workbookViewId="0">
      <selection activeCell="H8" sqref="H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5546875" defaultRowHeight="14.4" x14ac:dyDescent="0.3"/>
  <cols>
    <col min="1" max="3" width="11.5546875" style="1"/>
    <col min="4" max="4" width="13.109375" style="1" customWidth="1"/>
    <col min="5" max="5" width="7.33203125" style="1" customWidth="1"/>
    <col min="6" max="6" width="18.77734375" style="1" customWidth="1"/>
    <col min="7" max="7" width="3.33203125" style="1" customWidth="1"/>
    <col min="8" max="8" width="18.77734375" style="1" customWidth="1"/>
    <col min="9" max="9" width="3.33203125" style="1" customWidth="1"/>
    <col min="10" max="10" width="18.77734375" style="1" customWidth="1"/>
    <col min="11" max="11" width="3.33203125" style="1" customWidth="1"/>
    <col min="12" max="12" width="18.77734375" style="1" customWidth="1"/>
    <col min="13" max="13" width="11.5546875" style="1"/>
    <col min="14" max="14" width="11.5546875" style="1" customWidth="1"/>
    <col min="15" max="16384" width="11.5546875" style="1"/>
  </cols>
  <sheetData>
    <row r="7" spans="1:16" ht="14.4" customHeight="1" x14ac:dyDescent="0.3">
      <c r="A7" s="44"/>
      <c r="B7" s="112" t="s">
        <v>0</v>
      </c>
      <c r="C7" s="112"/>
      <c r="D7" s="112"/>
      <c r="F7" s="8"/>
      <c r="G7" s="7"/>
    </row>
    <row r="8" spans="1:16" ht="14.4" customHeight="1" x14ac:dyDescent="0.3">
      <c r="A8" s="45"/>
      <c r="B8" s="112"/>
      <c r="C8" s="112"/>
      <c r="D8" s="112"/>
      <c r="F8" s="8"/>
    </row>
    <row r="9" spans="1:16" ht="15" customHeight="1" x14ac:dyDescent="0.3">
      <c r="B9" s="112"/>
      <c r="C9" s="112"/>
      <c r="D9" s="112"/>
      <c r="F9" s="8"/>
      <c r="H9" s="4"/>
      <c r="I9" s="4"/>
      <c r="J9" s="4"/>
      <c r="K9" s="4"/>
      <c r="L9" s="4"/>
    </row>
    <row r="10" spans="1:16" ht="14.4" customHeight="1" x14ac:dyDescent="0.3">
      <c r="B10" s="112"/>
      <c r="C10" s="112"/>
      <c r="D10" s="112"/>
      <c r="F10" s="9"/>
      <c r="H10" s="4"/>
      <c r="I10" s="4"/>
      <c r="J10" s="4"/>
      <c r="K10" s="4"/>
      <c r="L10" s="4"/>
      <c r="O10" s="108" t="str" cm="1">
        <f t="array" ref="O10">IF(SUMPRODUCT(--(LEN(TRIM(TASKS!D7:D27))&gt;0))=0,"NO TASKS",IF(SUMPRODUCT(--(LEN(TRIM(TASKS!D7:D27))&gt;0))=1,"1 TASK",SUMPRODUCT(--(LEN(TRIM(TASKS!D7:D27))&gt;0))&amp;" TASKS"))</f>
        <v>NO TASKS</v>
      </c>
      <c r="P10" s="2"/>
    </row>
    <row r="11" spans="1:16" ht="14.4" customHeight="1" x14ac:dyDescent="0.3">
      <c r="B11" s="113" t="s">
        <v>1</v>
      </c>
      <c r="C11" s="113"/>
      <c r="D11" s="113"/>
      <c r="H11" s="4"/>
      <c r="I11" s="4"/>
      <c r="J11" s="4"/>
      <c r="K11" s="4"/>
      <c r="L11" s="4"/>
      <c r="O11" s="108"/>
    </row>
    <row r="12" spans="1:16" ht="14.4" customHeight="1" x14ac:dyDescent="0.3">
      <c r="O12" s="108"/>
    </row>
    <row r="13" spans="1:16" ht="14.4" customHeight="1" x14ac:dyDescent="0.3">
      <c r="B13" s="107">
        <f ca="1">TODAY()</f>
        <v>46191</v>
      </c>
      <c r="C13" s="107"/>
      <c r="D13" s="107"/>
      <c r="O13" s="108"/>
    </row>
    <row r="14" spans="1:16" ht="14.4" customHeight="1" x14ac:dyDescent="0.3">
      <c r="B14" s="107"/>
      <c r="C14" s="107"/>
      <c r="D14" s="107"/>
    </row>
    <row r="15" spans="1:16" ht="14.4" customHeight="1" x14ac:dyDescent="0.3">
      <c r="B15" s="2"/>
      <c r="C15" s="2"/>
      <c r="D15" s="2"/>
    </row>
    <row r="16" spans="1:16" ht="14.4" customHeight="1" x14ac:dyDescent="0.3">
      <c r="B16" s="2"/>
      <c r="C16" s="2"/>
      <c r="D16" s="2"/>
    </row>
    <row r="17" spans="2:16" ht="14.4" customHeight="1" x14ac:dyDescent="0.3">
      <c r="B17" s="2"/>
      <c r="C17" s="2"/>
      <c r="D17" s="2"/>
      <c r="J17" s="118"/>
      <c r="K17" s="118"/>
      <c r="L17" s="118"/>
    </row>
    <row r="18" spans="2:16" ht="14.4" customHeight="1" thickBot="1" x14ac:dyDescent="0.35">
      <c r="B18" s="2"/>
      <c r="C18" s="2"/>
      <c r="D18" s="2"/>
    </row>
    <row r="19" spans="2:16" ht="21" customHeight="1" x14ac:dyDescent="0.3">
      <c r="B19" s="2"/>
      <c r="C19" s="2"/>
      <c r="D19" s="2"/>
      <c r="F19" s="59" t="s">
        <v>89</v>
      </c>
      <c r="H19" s="60" t="s">
        <v>8</v>
      </c>
      <c r="J19" s="63" t="s">
        <v>90</v>
      </c>
      <c r="L19" s="61" t="s">
        <v>91</v>
      </c>
    </row>
    <row r="20" spans="2:16" ht="14.4" customHeight="1" x14ac:dyDescent="0.3">
      <c r="B20" s="2"/>
      <c r="C20" s="2"/>
      <c r="D20" s="2"/>
      <c r="F20" s="109" t="str" cm="1">
        <f t="array" ref="F20">IF(SUMPRODUCT(--(LEN(TRIM(TASKS!D7:D27))&gt;0))=0,"NO TASKS",COUNTIF(TASKS!H7:H27,"Done"))</f>
        <v>NO TASKS</v>
      </c>
      <c r="G20" s="56"/>
      <c r="H20" s="110">
        <f>BOOKS!N3</f>
        <v>0</v>
      </c>
      <c r="J20" s="125" t="str">
        <f>PROJECTS!M3</f>
        <v>NO CURRENT PROGRESS</v>
      </c>
      <c r="K20" s="56"/>
      <c r="L20" s="111" t="str" cm="1">
        <f t="array" ref="L20">IF(SUMPRODUCT(--(LEN(TRIM(PROJECTS!D7:D12))&gt;0))=0,"NO PROJECTS",COUNTIF(PROJECTS!I7:I13,100%))</f>
        <v>NO PROJECTS</v>
      </c>
    </row>
    <row r="21" spans="2:16" ht="14.4" customHeight="1" x14ac:dyDescent="0.3">
      <c r="B21" s="2"/>
      <c r="C21" s="2"/>
      <c r="D21" s="2"/>
      <c r="F21" s="109"/>
      <c r="G21" s="56"/>
      <c r="H21" s="110"/>
      <c r="J21" s="125"/>
      <c r="K21" s="56"/>
      <c r="L21" s="111"/>
      <c r="O21" s="65"/>
    </row>
    <row r="22" spans="2:16" ht="14.4" customHeight="1" x14ac:dyDescent="0.3">
      <c r="B22" s="2"/>
      <c r="C22" s="2"/>
      <c r="D22" s="2"/>
      <c r="F22" s="109"/>
      <c r="G22" s="56"/>
      <c r="H22" s="110"/>
      <c r="J22" s="125"/>
      <c r="K22" s="56"/>
      <c r="L22" s="111"/>
      <c r="O22" s="114" t="str">
        <f>PROJECTS!J3</f>
        <v>NO CURRENT PROJECTS</v>
      </c>
    </row>
    <row r="23" spans="2:16" ht="12.6" customHeight="1" x14ac:dyDescent="0.3">
      <c r="B23" s="2"/>
      <c r="C23" s="2"/>
      <c r="D23" s="2"/>
      <c r="F23" s="109"/>
      <c r="H23" s="110"/>
      <c r="J23" s="125"/>
      <c r="L23" s="111"/>
      <c r="O23" s="114"/>
    </row>
    <row r="24" spans="2:16" ht="22.2" customHeight="1" thickBot="1" x14ac:dyDescent="0.35">
      <c r="B24" s="2"/>
      <c r="C24" s="2"/>
      <c r="D24" s="2"/>
      <c r="F24" s="64" t="str" cm="1">
        <f t="array" ref="F24">IF(SUMPRODUCT(--(LEN(TRIM(TASKS!D7:D27))&gt;0))=0,"","OF "&amp;SUMPRODUCT(--(LEN(TRIM(TASKS!D7:D27))&gt;0))&amp;IF(SUMPRODUCT(--(LEN(TRIM(TASKS!D7:D27))&gt;0))=1," TASK"," TASKS"))</f>
        <v/>
      </c>
      <c r="H24" s="57" t="str">
        <f>IF(OR(BOOKS!N12="",BOOKS!N12=0),"",IF(BOOKS!N3&gt;=BOOKS!N12,"GOAL COMPLETED","GOAL: "&amp;BOOKS!N12&amp;IF(BOOKS!N12=1," BOOK"," BOOKS")))</f>
        <v/>
      </c>
      <c r="J24" s="58" t="str" cm="1">
        <f t="array" ref="J24">IF(SUMPRODUCT(--(LEN(TRIM(PROJECTS!D7:D13))&gt;0))=0,"",IF(COUNT(PROJECTS!I7:I13)=0,"ADD PROGRESS %",IF(AVERAGE(PROJECTS!I7:I13)=100%,"COMPLETED",IF(SUMPRODUCT(--(LEN(TRIM(PROJECTS!D7:D13))&gt;0))=1,"ACROSS THE PROJECT","ACROSS ALL PROJECTS"))))</f>
        <v/>
      </c>
      <c r="L24" s="99" t="str" cm="1">
        <f t="array" ref="L24">IF(SUMPRODUCT(--(LEN(TRIM(PROJECTS!D7:D13))&gt;0))=0,"",IF(COUNTIF(PROJECTS!I7:I13,100%)=SUMPRODUCT(--(LEN(TRIM(PROJECTS!D7:D12))&gt;0)),"ALL PROJECTS COMPLETED","OF "&amp;SUMPRODUCT(--(LEN(TRIM(PROJECTS!D7:D13))&gt;0))&amp;IF(SUMPRODUCT(--(LEN(TRIM(PROJECTS!D7:D13))&gt;0))=1," PROJECT"," PROJECTS")))</f>
        <v/>
      </c>
      <c r="O24" s="114"/>
    </row>
    <row r="25" spans="2:16" ht="14.4" customHeight="1" thickBot="1" x14ac:dyDescent="0.35">
      <c r="I25" s="6"/>
      <c r="K25" s="5"/>
      <c r="O25" s="114"/>
    </row>
    <row r="26" spans="2:16" ht="14.4" customHeight="1" x14ac:dyDescent="0.3">
      <c r="F26" s="115" cm="1">
        <f t="array" ref="F26">IF(SUMPRODUCT(--(LEN(TRIM(TASKS!D7:D27))&gt;0))=0,0,COUNTIF(TASKS!H7:H27,"Done")/SUMPRODUCT(--(LEN(TRIM(TASKS!D7:D27))&gt;0)))</f>
        <v>0</v>
      </c>
      <c r="H26" s="123">
        <f>IF(OR(BOOKS!N12="",BOOKS!N12&lt;1),0,MIN(BOOKS!N3/BOOKS!N12,1))</f>
        <v>0</v>
      </c>
      <c r="J26" s="121" t="str">
        <f>IF(ISNUMBER(J20),J20,"")</f>
        <v/>
      </c>
      <c r="L26" s="119" cm="1">
        <f t="array" ref="L26">IF(SUMPRODUCT(--(LEN(TRIM(PROJECTS!D7:D12))&gt;0))=0,0,COUNTIF(PROJECTS!I7:I12,100%)/SUMPRODUCT(--(LEN(TRIM(PROJECTS!D7:D12))&gt;0)))</f>
        <v>0</v>
      </c>
    </row>
    <row r="27" spans="2:16" ht="14.4" customHeight="1" thickBot="1" x14ac:dyDescent="0.35">
      <c r="B27" s="2"/>
      <c r="C27" s="2"/>
      <c r="D27" s="2"/>
      <c r="F27" s="116"/>
      <c r="H27" s="124"/>
      <c r="J27" s="122"/>
      <c r="L27" s="120"/>
    </row>
    <row r="28" spans="2:16" ht="14.4" customHeight="1" x14ac:dyDescent="0.3">
      <c r="B28" s="2"/>
      <c r="C28" s="2"/>
      <c r="D28" s="2"/>
      <c r="F28" s="62"/>
      <c r="G28" s="62"/>
      <c r="O28" s="117"/>
      <c r="P28" s="117"/>
    </row>
    <row r="29" spans="2:16" ht="14.4" customHeight="1" x14ac:dyDescent="0.3">
      <c r="B29" s="2"/>
      <c r="C29" s="2"/>
      <c r="D29" s="2"/>
      <c r="F29" s="62"/>
      <c r="G29" s="62"/>
      <c r="O29" s="117"/>
      <c r="P29" s="117"/>
    </row>
    <row r="30" spans="2:16" ht="14.4" customHeight="1" x14ac:dyDescent="0.3">
      <c r="B30" s="2"/>
      <c r="C30" s="2"/>
      <c r="D30" s="2"/>
      <c r="F30" s="62"/>
      <c r="G30" s="62"/>
      <c r="O30" s="117"/>
      <c r="P30" s="117"/>
    </row>
    <row r="31" spans="2:16" ht="14.4" customHeight="1" x14ac:dyDescent="0.3">
      <c r="B31" s="2"/>
      <c r="C31" s="2"/>
      <c r="D31" s="2"/>
    </row>
  </sheetData>
  <sheetProtection sheet="1" selectLockedCells="1"/>
  <mergeCells count="15">
    <mergeCell ref="F26:F27"/>
    <mergeCell ref="O28:P30"/>
    <mergeCell ref="J17:L17"/>
    <mergeCell ref="L26:L27"/>
    <mergeCell ref="J26:J27"/>
    <mergeCell ref="H26:H27"/>
    <mergeCell ref="J20:J23"/>
    <mergeCell ref="B13:D14"/>
    <mergeCell ref="O10:O13"/>
    <mergeCell ref="F20:F23"/>
    <mergeCell ref="H20:H23"/>
    <mergeCell ref="L20:L23"/>
    <mergeCell ref="B7:D10"/>
    <mergeCell ref="B11:D11"/>
    <mergeCell ref="O22:O25"/>
  </mergeCells>
  <conditionalFormatting sqref="F26:F27">
    <cfRule type="dataBar" priority="4">
      <dataBar showValue="0">
        <cfvo type="num" val="0"/>
        <cfvo type="num" val="1"/>
        <color rgb="FF4D8CFF"/>
      </dataBar>
      <extLst>
        <ext xmlns:x14="http://schemas.microsoft.com/office/spreadsheetml/2009/9/main" uri="{B025F937-C7B1-47D3-B67F-A62EFF666E3E}">
          <x14:id>{D606A95C-F699-4975-AFD8-7812C4AB57D3}</x14:id>
        </ext>
      </extLst>
    </cfRule>
  </conditionalFormatting>
  <conditionalFormatting sqref="H26:H27">
    <cfRule type="dataBar" priority="3">
      <dataBar showValue="0">
        <cfvo type="num" val="0"/>
        <cfvo type="num" val="1"/>
        <color rgb="FF5DBB8A"/>
      </dataBar>
      <extLst>
        <ext xmlns:x14="http://schemas.microsoft.com/office/spreadsheetml/2009/9/main" uri="{B025F937-C7B1-47D3-B67F-A62EFF666E3E}">
          <x14:id>{B73425B3-0B2E-4B31-8DB8-D18185E505B3}</x14:id>
        </ext>
      </extLst>
    </cfRule>
  </conditionalFormatting>
  <conditionalFormatting sqref="J26:J27">
    <cfRule type="dataBar" priority="2">
      <dataBar showValue="0">
        <cfvo type="num" val="0"/>
        <cfvo type="num" val="1"/>
        <color rgb="FFF1C40F"/>
      </dataBar>
      <extLst>
        <ext xmlns:x14="http://schemas.microsoft.com/office/spreadsheetml/2009/9/main" uri="{B025F937-C7B1-47D3-B67F-A62EFF666E3E}">
          <x14:id>{A32B16CF-BB43-452D-85B3-A8A7EC9A2CB8}</x14:id>
        </ext>
      </extLst>
    </cfRule>
  </conditionalFormatting>
  <conditionalFormatting sqref="L26:L27">
    <cfRule type="dataBar" priority="1">
      <dataBar showValue="0">
        <cfvo type="num" val="0"/>
        <cfvo type="num" val="1"/>
        <color rgb="FF9B7FD4"/>
      </dataBar>
      <extLst>
        <ext xmlns:x14="http://schemas.microsoft.com/office/spreadsheetml/2009/9/main" uri="{B025F937-C7B1-47D3-B67F-A62EFF666E3E}">
          <x14:id>{29B6EE04-1A20-4B55-B10B-7C3C597979AC}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06A95C-F699-4975-AFD8-7812C4AB57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F26:F27</xm:sqref>
        </x14:conditionalFormatting>
        <x14:conditionalFormatting xmlns:xm="http://schemas.microsoft.com/office/excel/2006/main">
          <x14:cfRule type="dataBar" id="{B73425B3-0B2E-4B31-8DB8-D18185E505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H26:H27</xm:sqref>
        </x14:conditionalFormatting>
        <x14:conditionalFormatting xmlns:xm="http://schemas.microsoft.com/office/excel/2006/main">
          <x14:cfRule type="dataBar" id="{A32B16CF-BB43-452D-85B3-A8A7EC9A2C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J26:J27</xm:sqref>
        </x14:conditionalFormatting>
        <x14:conditionalFormatting xmlns:xm="http://schemas.microsoft.com/office/excel/2006/main">
          <x14:cfRule type="dataBar" id="{29B6EE04-1A20-4B55-B10B-7C3C597979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46E5-8CA8-4C04-A284-3D35DA50E93A}">
  <sheetPr>
    <tabColor rgb="FF5491EE"/>
  </sheetPr>
  <dimension ref="B1:N29"/>
  <sheetViews>
    <sheetView showGridLines="0" showRowColHeaders="0" zoomScaleNormal="100" workbookViewId="0">
      <selection activeCell="D7" sqref="D7"/>
    </sheetView>
  </sheetViews>
  <sheetFormatPr defaultColWidth="11.5546875" defaultRowHeight="14.4" customHeight="1" x14ac:dyDescent="0.3"/>
  <cols>
    <col min="1" max="1" width="2" style="1" customWidth="1"/>
    <col min="2" max="2" width="22.6640625" style="1" customWidth="1"/>
    <col min="3" max="3" width="2" style="1" customWidth="1"/>
    <col min="4" max="4" width="51.33203125" style="1" customWidth="1"/>
    <col min="5" max="5" width="14.21875" style="1" customWidth="1"/>
    <col min="6" max="6" width="10.77734375" style="1" customWidth="1"/>
    <col min="7" max="7" width="12.109375" style="1" bestFit="1" customWidth="1"/>
    <col min="8" max="8" width="16" style="1" customWidth="1"/>
    <col min="9" max="9" width="6" style="1" bestFit="1" customWidth="1"/>
    <col min="10" max="10" width="16.88671875" style="1" customWidth="1"/>
    <col min="11" max="11" width="14.6640625" style="1" customWidth="1"/>
    <col min="12" max="12" width="2.6640625" style="1" customWidth="1"/>
    <col min="13" max="14" width="14.6640625" style="1" customWidth="1"/>
    <col min="15" max="15" width="2.6640625" style="1" customWidth="1"/>
    <col min="16" max="17" width="17.77734375" style="1" customWidth="1"/>
    <col min="18" max="16384" width="11.5546875" style="1"/>
  </cols>
  <sheetData>
    <row r="1" spans="2:14" ht="14.4" customHeight="1" thickBot="1" x14ac:dyDescent="0.35"/>
    <row r="2" spans="2:14" ht="32.4" customHeight="1" x14ac:dyDescent="0.3">
      <c r="B2" s="10"/>
      <c r="C2" s="10"/>
      <c r="D2" s="148" t="s">
        <v>49</v>
      </c>
      <c r="E2" s="149"/>
      <c r="F2" s="149"/>
      <c r="G2" s="149"/>
      <c r="H2" s="150"/>
      <c r="I2" s="40"/>
      <c r="J2" s="154" t="s">
        <v>76</v>
      </c>
      <c r="K2" s="155"/>
      <c r="M2" s="160" t="s">
        <v>65</v>
      </c>
      <c r="N2" s="161"/>
    </row>
    <row r="3" spans="2:14" ht="17.399999999999999" customHeight="1" thickBot="1" x14ac:dyDescent="0.35">
      <c r="B3" s="11"/>
      <c r="C3" s="11"/>
      <c r="D3" s="151"/>
      <c r="E3" s="152"/>
      <c r="F3" s="152"/>
      <c r="G3" s="152"/>
      <c r="H3" s="153"/>
      <c r="I3" s="40"/>
      <c r="J3" s="156" t="str" cm="1">
        <f t="array" ref="J3">IF(SUMPRODUCT(--(LEN(TRIM(D7:D27))&gt;0))=0,"NO TASKS",COUNTIF(H7:H27,"Done"))</f>
        <v>NO TASKS</v>
      </c>
      <c r="K3" s="157"/>
      <c r="M3" s="162">
        <f>COUNTIF(H7:H27,"Pending")</f>
        <v>0</v>
      </c>
      <c r="N3" s="163"/>
    </row>
    <row r="4" spans="2:14" ht="14.4" customHeight="1" thickBot="1" x14ac:dyDescent="0.35">
      <c r="D4" s="166" t="s">
        <v>50</v>
      </c>
      <c r="E4" s="166"/>
      <c r="F4" s="29"/>
      <c r="G4" s="29"/>
      <c r="H4" s="29"/>
      <c r="I4" s="29"/>
      <c r="J4" s="158"/>
      <c r="K4" s="159"/>
      <c r="M4" s="164"/>
      <c r="N4" s="165"/>
    </row>
    <row r="5" spans="2:14" ht="14.4" customHeight="1" thickBot="1" x14ac:dyDescent="0.35">
      <c r="B5" s="3"/>
      <c r="C5" s="3"/>
      <c r="D5" s="166"/>
      <c r="E5" s="166"/>
    </row>
    <row r="6" spans="2:14" ht="21" customHeight="1" x14ac:dyDescent="0.3">
      <c r="B6" s="3"/>
      <c r="C6" s="3"/>
      <c r="D6" s="48" t="s">
        <v>51</v>
      </c>
      <c r="E6" s="48" t="s">
        <v>52</v>
      </c>
      <c r="F6" s="48" t="s">
        <v>53</v>
      </c>
      <c r="G6" s="49" t="s">
        <v>54</v>
      </c>
      <c r="H6" s="50" t="s">
        <v>36</v>
      </c>
      <c r="I6" s="37"/>
      <c r="J6" s="126" t="s">
        <v>74</v>
      </c>
      <c r="K6" s="127"/>
      <c r="L6" s="127"/>
      <c r="M6" s="128"/>
      <c r="N6" s="138">
        <f>IF(COUNTA(D7:D27)=0,0,COUNTIF(H7:H27,"Done")/COUNTA(D7:D27))</f>
        <v>0</v>
      </c>
    </row>
    <row r="7" spans="2:14" ht="18" customHeight="1" thickBot="1" x14ac:dyDescent="0.35">
      <c r="B7" s="3"/>
      <c r="C7" s="3"/>
      <c r="D7" s="66"/>
      <c r="E7" s="67"/>
      <c r="F7" s="67"/>
      <c r="G7" s="68"/>
      <c r="H7" s="69"/>
      <c r="I7" s="38"/>
      <c r="J7" s="129"/>
      <c r="K7" s="130"/>
      <c r="L7" s="130"/>
      <c r="M7" s="131"/>
      <c r="N7" s="139"/>
    </row>
    <row r="8" spans="2:14" ht="18" customHeight="1" x14ac:dyDescent="0.3">
      <c r="B8" s="3"/>
      <c r="C8" s="3"/>
      <c r="D8" s="70"/>
      <c r="E8" s="71"/>
      <c r="F8" s="71"/>
      <c r="G8" s="72"/>
      <c r="H8" s="73"/>
      <c r="J8" s="132">
        <f>N6</f>
        <v>0</v>
      </c>
      <c r="K8" s="133"/>
      <c r="L8" s="133"/>
      <c r="M8" s="134"/>
      <c r="N8" s="139"/>
    </row>
    <row r="9" spans="2:14" ht="18" customHeight="1" thickBot="1" x14ac:dyDescent="0.35">
      <c r="B9" s="3"/>
      <c r="C9" s="3"/>
      <c r="D9" s="66"/>
      <c r="E9" s="67"/>
      <c r="F9" s="67"/>
      <c r="G9" s="68"/>
      <c r="H9" s="69"/>
      <c r="J9" s="135"/>
      <c r="K9" s="136"/>
      <c r="L9" s="136"/>
      <c r="M9" s="137"/>
      <c r="N9" s="140"/>
    </row>
    <row r="10" spans="2:14" ht="18" customHeight="1" thickBot="1" x14ac:dyDescent="0.35">
      <c r="B10" s="3"/>
      <c r="C10" s="3"/>
      <c r="D10" s="70"/>
      <c r="E10" s="71"/>
      <c r="F10" s="71"/>
      <c r="G10" s="72"/>
      <c r="H10" s="73"/>
    </row>
    <row r="11" spans="2:14" ht="18" customHeight="1" x14ac:dyDescent="0.3">
      <c r="B11" s="3"/>
      <c r="C11" s="3"/>
      <c r="D11" s="66"/>
      <c r="E11" s="67"/>
      <c r="F11" s="67"/>
      <c r="G11" s="68"/>
      <c r="H11" s="69"/>
      <c r="J11" s="141" t="s">
        <v>75</v>
      </c>
      <c r="K11" s="142"/>
      <c r="L11" s="142"/>
      <c r="M11" s="142"/>
      <c r="N11" s="143"/>
    </row>
    <row r="12" spans="2:14" ht="18" customHeight="1" x14ac:dyDescent="0.3">
      <c r="B12" s="3"/>
      <c r="C12" s="3"/>
      <c r="D12" s="70"/>
      <c r="E12" s="71"/>
      <c r="F12" s="71"/>
      <c r="G12" s="72"/>
      <c r="H12" s="73"/>
      <c r="J12" s="144"/>
      <c r="K12" s="145"/>
      <c r="L12" s="145"/>
      <c r="M12" s="145"/>
      <c r="N12" s="146"/>
    </row>
    <row r="13" spans="2:14" ht="18" customHeight="1" x14ac:dyDescent="0.3">
      <c r="B13" s="3"/>
      <c r="C13" s="3"/>
      <c r="D13" s="66"/>
      <c r="E13" s="67"/>
      <c r="F13" s="67"/>
      <c r="G13" s="68"/>
      <c r="H13" s="69"/>
      <c r="J13" s="31"/>
      <c r="N13" s="30"/>
    </row>
    <row r="14" spans="2:14" ht="18" customHeight="1" x14ac:dyDescent="0.3">
      <c r="B14" s="3"/>
      <c r="C14" s="3"/>
      <c r="D14" s="70"/>
      <c r="E14" s="71"/>
      <c r="F14" s="71"/>
      <c r="G14" s="72"/>
      <c r="H14" s="73"/>
      <c r="J14" s="31"/>
      <c r="K14" s="147" t="str" cm="1">
        <f t="array" ref="K14">IF(SUMPRODUCT(--(LEN(TRIM(D7:D27))&gt;0))=0,"NO TASKS",IF(SUMPRODUCT(--(LEN(TRIM(D7:D27))&gt;0))=1,"1 TASK",SUMPRODUCT(--(LEN(TRIM(D7:D27))&gt;0))&amp;" TASKS"))</f>
        <v>NO TASKS</v>
      </c>
      <c r="L14" s="147"/>
      <c r="M14" s="147"/>
      <c r="N14" s="30"/>
    </row>
    <row r="15" spans="2:14" ht="18" customHeight="1" x14ac:dyDescent="0.3">
      <c r="B15" s="3"/>
      <c r="C15" s="3"/>
      <c r="D15" s="66"/>
      <c r="E15" s="67"/>
      <c r="F15" s="67"/>
      <c r="G15" s="68"/>
      <c r="H15" s="69"/>
      <c r="J15" s="31"/>
      <c r="K15" s="147"/>
      <c r="L15" s="147"/>
      <c r="M15" s="147"/>
      <c r="N15" s="30"/>
    </row>
    <row r="16" spans="2:14" ht="18" customHeight="1" x14ac:dyDescent="0.3">
      <c r="B16" s="3"/>
      <c r="C16" s="3"/>
      <c r="D16" s="70"/>
      <c r="E16" s="71"/>
      <c r="F16" s="71"/>
      <c r="G16" s="72"/>
      <c r="H16" s="73"/>
      <c r="J16" s="31"/>
      <c r="K16" s="147"/>
      <c r="L16" s="147"/>
      <c r="M16" s="147"/>
      <c r="N16" s="30"/>
    </row>
    <row r="17" spans="2:14" ht="18" customHeight="1" x14ac:dyDescent="0.3">
      <c r="B17" s="3"/>
      <c r="C17" s="3"/>
      <c r="D17" s="66"/>
      <c r="E17" s="67"/>
      <c r="F17" s="67"/>
      <c r="G17" s="68"/>
      <c r="H17" s="69"/>
      <c r="J17" s="31"/>
      <c r="K17" s="147"/>
      <c r="L17" s="147"/>
      <c r="M17" s="147"/>
      <c r="N17" s="30"/>
    </row>
    <row r="18" spans="2:14" ht="18" customHeight="1" x14ac:dyDescent="0.3">
      <c r="B18" s="3"/>
      <c r="C18" s="3"/>
      <c r="D18" s="70"/>
      <c r="E18" s="71"/>
      <c r="F18" s="71"/>
      <c r="G18" s="72"/>
      <c r="H18" s="73"/>
      <c r="J18" s="31"/>
      <c r="K18" s="147"/>
      <c r="L18" s="147"/>
      <c r="M18" s="147"/>
      <c r="N18" s="30"/>
    </row>
    <row r="19" spans="2:14" ht="18" customHeight="1" x14ac:dyDescent="0.3">
      <c r="B19" s="3"/>
      <c r="C19" s="3"/>
      <c r="D19" s="66"/>
      <c r="E19" s="67"/>
      <c r="F19" s="67"/>
      <c r="G19" s="68"/>
      <c r="H19" s="69"/>
      <c r="J19" s="31"/>
      <c r="N19" s="30"/>
    </row>
    <row r="20" spans="2:14" ht="18" customHeight="1" thickBot="1" x14ac:dyDescent="0.35">
      <c r="B20" s="3"/>
      <c r="C20" s="3"/>
      <c r="D20" s="70"/>
      <c r="E20" s="71"/>
      <c r="F20" s="71"/>
      <c r="G20" s="72"/>
      <c r="H20" s="73"/>
      <c r="J20" s="32"/>
      <c r="K20" s="33"/>
      <c r="L20" s="33"/>
      <c r="M20" s="33"/>
      <c r="N20" s="34"/>
    </row>
    <row r="21" spans="2:14" ht="18" customHeight="1" x14ac:dyDescent="0.3">
      <c r="B21" s="3"/>
      <c r="C21" s="3"/>
      <c r="D21" s="66"/>
      <c r="E21" s="67"/>
      <c r="F21" s="67"/>
      <c r="G21" s="68"/>
      <c r="H21" s="69"/>
    </row>
    <row r="22" spans="2:14" ht="18" customHeight="1" x14ac:dyDescent="0.3">
      <c r="B22" s="3"/>
      <c r="C22" s="3"/>
      <c r="D22" s="70"/>
      <c r="E22" s="71"/>
      <c r="F22" s="71"/>
      <c r="G22" s="72"/>
      <c r="H22" s="73"/>
    </row>
    <row r="23" spans="2:14" ht="18" customHeight="1" x14ac:dyDescent="0.3">
      <c r="B23" s="2"/>
      <c r="C23" s="2"/>
      <c r="D23" s="66"/>
      <c r="E23" s="71"/>
      <c r="F23" s="67"/>
      <c r="G23" s="68"/>
      <c r="H23" s="69"/>
    </row>
    <row r="24" spans="2:14" ht="18" customHeight="1" x14ac:dyDescent="0.3">
      <c r="B24" s="2"/>
      <c r="C24" s="2"/>
      <c r="D24" s="70"/>
      <c r="E24" s="71"/>
      <c r="F24" s="71"/>
      <c r="G24" s="72"/>
      <c r="H24" s="73"/>
    </row>
    <row r="25" spans="2:14" ht="18" customHeight="1" x14ac:dyDescent="0.3">
      <c r="B25" s="2"/>
      <c r="C25" s="2"/>
      <c r="D25" s="66"/>
      <c r="E25" s="67"/>
      <c r="F25" s="67"/>
      <c r="G25" s="68"/>
      <c r="H25" s="69"/>
    </row>
    <row r="26" spans="2:14" ht="18" customHeight="1" x14ac:dyDescent="0.3">
      <c r="B26" s="2"/>
      <c r="C26" s="2"/>
      <c r="D26" s="70"/>
      <c r="E26" s="71"/>
      <c r="F26" s="71"/>
      <c r="G26" s="72"/>
      <c r="H26" s="73"/>
    </row>
    <row r="27" spans="2:14" ht="18" customHeight="1" thickBot="1" x14ac:dyDescent="0.35">
      <c r="D27" s="66"/>
      <c r="E27" s="74"/>
      <c r="F27" s="74"/>
      <c r="G27" s="75"/>
      <c r="H27" s="76"/>
    </row>
    <row r="28" spans="2:14" ht="15" customHeight="1" x14ac:dyDescent="0.3">
      <c r="D28" s="41"/>
      <c r="E28" s="39"/>
      <c r="F28" s="39"/>
      <c r="G28" s="38"/>
      <c r="H28" s="42"/>
    </row>
    <row r="29" spans="2:14" ht="18" customHeight="1" x14ac:dyDescent="0.3">
      <c r="D29" s="41"/>
      <c r="E29" s="39"/>
      <c r="F29" s="39"/>
      <c r="G29" s="38"/>
      <c r="H29" s="42"/>
    </row>
  </sheetData>
  <sheetProtection sheet="1" selectLockedCells="1"/>
  <mergeCells count="11">
    <mergeCell ref="D2:H3"/>
    <mergeCell ref="J2:K2"/>
    <mergeCell ref="J3:K4"/>
    <mergeCell ref="M2:N2"/>
    <mergeCell ref="M3:N4"/>
    <mergeCell ref="D4:E5"/>
    <mergeCell ref="J6:M7"/>
    <mergeCell ref="J8:M9"/>
    <mergeCell ref="N6:N9"/>
    <mergeCell ref="J11:N12"/>
    <mergeCell ref="K14:M18"/>
  </mergeCells>
  <phoneticPr fontId="10" type="noConversion"/>
  <conditionalFormatting sqref="E7:E29">
    <cfRule type="expression" dxfId="31" priority="31">
      <formula>$E7="Other"</formula>
    </cfRule>
    <cfRule type="expression" dxfId="30" priority="32">
      <formula>$E7="Home"</formula>
    </cfRule>
    <cfRule type="expression" dxfId="29" priority="33">
      <formula>$E7="Finance"</formula>
    </cfRule>
    <cfRule type="expression" dxfId="28" priority="34">
      <formula>$E7="Finance"</formula>
    </cfRule>
    <cfRule type="expression" dxfId="27" priority="35">
      <formula>$E7="Health"</formula>
    </cfRule>
    <cfRule type="expression" dxfId="26" priority="36">
      <formula>$E7="Personal"</formula>
    </cfRule>
    <cfRule type="expression" dxfId="25" priority="37">
      <formula>$E7="Work"</formula>
    </cfRule>
    <cfRule type="expression" dxfId="24" priority="38">
      <formula>$E7="Study"</formula>
    </cfRule>
  </conditionalFormatting>
  <conditionalFormatting sqref="F7:F29">
    <cfRule type="expression" dxfId="23" priority="26">
      <formula>$F7="High"</formula>
    </cfRule>
    <cfRule type="expression" dxfId="22" priority="27">
      <formula>$F7="Medium"</formula>
    </cfRule>
    <cfRule type="expression" dxfId="21" priority="28">
      <formula>$F7="Low"</formula>
    </cfRule>
  </conditionalFormatting>
  <conditionalFormatting sqref="H7:H29">
    <cfRule type="expression" dxfId="20" priority="23">
      <formula>$H7="Done"</formula>
    </cfRule>
    <cfRule type="expression" dxfId="19" priority="24">
      <formula>$H7="In Progress"</formula>
    </cfRule>
    <cfRule type="expression" dxfId="18" priority="25">
      <formula>$H7="Pending"</formula>
    </cfRule>
  </conditionalFormatting>
  <conditionalFormatting sqref="J8">
    <cfRule type="dataBar" priority="22">
      <dataBar showValue="0">
        <cfvo type="num" val="0"/>
        <cfvo type="num" val="1"/>
        <color rgb="FF00C853"/>
      </dataBar>
      <extLst>
        <ext xmlns:x14="http://schemas.microsoft.com/office/spreadsheetml/2009/9/main" uri="{B025F937-C7B1-47D3-B67F-A62EFF666E3E}">
          <x14:id>{0B98DA6B-7756-4DD2-89B7-227B625152EC}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98DA6B-7756-4DD2-89B7-227B625152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93840E-A106-400C-8B59-47E4C788BC7F}">
          <x14:formula1>
            <xm:f>CONFIG!$K$7:$K$9</xm:f>
          </x14:formula1>
          <xm:sqref>F7:F27 F29</xm:sqref>
        </x14:dataValidation>
        <x14:dataValidation type="list" allowBlank="1" showInputMessage="1" showErrorMessage="1" xr:uid="{574A1B27-3B14-43B5-91D1-76E800DA66C8}">
          <x14:formula1>
            <xm:f>CONFIG!$M$7:$M$13</xm:f>
          </x14:formula1>
          <xm:sqref>G7:G27 G29</xm:sqref>
        </x14:dataValidation>
        <x14:dataValidation type="list" allowBlank="1" showInputMessage="1" showErrorMessage="1" xr:uid="{543EF4D4-D5E6-49E2-9313-587D1AEAC5A7}">
          <x14:formula1>
            <xm:f>CONFIG!$J$7:$J$13</xm:f>
          </x14:formula1>
          <xm:sqref>E7:E27 E29</xm:sqref>
        </x14:dataValidation>
        <x14:dataValidation type="list" allowBlank="1" showInputMessage="1" showErrorMessage="1" xr:uid="{2D0D9B23-7A42-4B89-A3A1-A050B8B8E3AE}">
          <x14:formula1>
            <xm:f>CONFIG!$L$7:$L$9</xm:f>
          </x14:formula1>
          <xm:sqref>H7:H27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DB22-34AB-4E76-ACF0-4551E788D93C}">
  <sheetPr>
    <tabColor rgb="FF5DBB8A"/>
  </sheetPr>
  <dimension ref="B1:T106"/>
  <sheetViews>
    <sheetView showGridLines="0" showRowColHeaders="0" zoomScaleNormal="100" workbookViewId="0">
      <selection activeCell="J10" sqref="J10"/>
    </sheetView>
  </sheetViews>
  <sheetFormatPr defaultColWidth="11.5546875" defaultRowHeight="15" x14ac:dyDescent="0.3"/>
  <cols>
    <col min="1" max="1" width="2" style="1" customWidth="1"/>
    <col min="2" max="2" width="22.6640625" style="1" bestFit="1" customWidth="1"/>
    <col min="3" max="3" width="2" style="1" customWidth="1"/>
    <col min="4" max="12" width="14" style="28" customWidth="1"/>
    <col min="13" max="13" width="2.6640625" style="1" customWidth="1"/>
    <col min="14" max="14" width="11.5546875" style="1" customWidth="1"/>
    <col min="15" max="15" width="7.77734375" style="1" customWidth="1"/>
    <col min="16" max="16" width="3.44140625" style="1" customWidth="1"/>
    <col min="17" max="17" width="1" style="1" customWidth="1"/>
    <col min="18" max="18" width="2.6640625" style="1" customWidth="1"/>
    <col min="19" max="19" width="7.77734375" style="1" customWidth="1"/>
    <col min="20" max="20" width="11.5546875" style="1" customWidth="1"/>
    <col min="21" max="16384" width="11.5546875" style="1"/>
  </cols>
  <sheetData>
    <row r="1" spans="2:20" ht="15.6" customHeight="1" thickBot="1" x14ac:dyDescent="0.35">
      <c r="D1" s="1"/>
      <c r="E1" s="1"/>
      <c r="F1" s="1"/>
      <c r="G1" s="1"/>
      <c r="H1" s="1"/>
      <c r="I1" s="1"/>
      <c r="J1" s="1"/>
      <c r="K1" s="1"/>
      <c r="L1" s="1"/>
    </row>
    <row r="2" spans="2:20" ht="37.799999999999997" customHeight="1" thickBot="1" x14ac:dyDescent="0.35">
      <c r="B2" s="10"/>
      <c r="C2" s="10"/>
      <c r="D2" s="148" t="s">
        <v>30</v>
      </c>
      <c r="E2" s="149"/>
      <c r="F2" s="149"/>
      <c r="G2" s="149"/>
      <c r="H2" s="149"/>
      <c r="I2" s="149"/>
      <c r="J2" s="149"/>
      <c r="K2" s="149"/>
      <c r="L2" s="150"/>
      <c r="N2" s="184" t="s">
        <v>8</v>
      </c>
      <c r="O2" s="185"/>
      <c r="Q2" s="13"/>
      <c r="S2" s="170" t="s">
        <v>9</v>
      </c>
      <c r="T2" s="171"/>
    </row>
    <row r="3" spans="2:20" ht="13.8" customHeight="1" thickBot="1" x14ac:dyDescent="0.35">
      <c r="B3" s="11"/>
      <c r="C3" s="11"/>
      <c r="D3" s="151"/>
      <c r="E3" s="152"/>
      <c r="F3" s="152"/>
      <c r="G3" s="152"/>
      <c r="H3" s="152"/>
      <c r="I3" s="152"/>
      <c r="J3" s="152"/>
      <c r="K3" s="152"/>
      <c r="L3" s="153"/>
      <c r="N3" s="186">
        <f>COUNTIF(G:G, "Finished")</f>
        <v>0</v>
      </c>
      <c r="O3" s="187"/>
      <c r="S3" s="172">
        <f>SUM(J:J)</f>
        <v>0</v>
      </c>
      <c r="T3" s="173"/>
    </row>
    <row r="4" spans="2:20" ht="24.6" customHeight="1" thickBot="1" x14ac:dyDescent="0.35">
      <c r="D4" s="1"/>
      <c r="E4" s="1"/>
      <c r="F4" s="1"/>
      <c r="G4" s="1"/>
      <c r="H4" s="1"/>
      <c r="I4" s="1"/>
      <c r="J4" s="1"/>
      <c r="K4" s="1"/>
      <c r="L4" s="1"/>
      <c r="N4" s="188"/>
      <c r="O4" s="189"/>
      <c r="S4" s="174"/>
      <c r="T4" s="175"/>
    </row>
    <row r="5" spans="2:20" ht="26.4" customHeight="1" thickBot="1" x14ac:dyDescent="0.35">
      <c r="D5" s="12" t="s">
        <v>33</v>
      </c>
      <c r="E5" s="12" t="s">
        <v>34</v>
      </c>
      <c r="F5" s="12" t="s">
        <v>35</v>
      </c>
      <c r="G5" s="12" t="s">
        <v>36</v>
      </c>
      <c r="H5" s="12" t="s">
        <v>37</v>
      </c>
      <c r="I5" s="12" t="s">
        <v>38</v>
      </c>
      <c r="J5" s="16" t="s">
        <v>39</v>
      </c>
      <c r="K5" s="16" t="s">
        <v>43</v>
      </c>
      <c r="L5" s="16" t="s">
        <v>40</v>
      </c>
      <c r="N5" s="190"/>
      <c r="O5" s="191"/>
      <c r="S5" s="176"/>
      <c r="T5" s="177"/>
    </row>
    <row r="6" spans="2:20" ht="37.799999999999997" customHeight="1" thickBot="1" x14ac:dyDescent="0.35">
      <c r="D6" s="101"/>
      <c r="E6" s="77"/>
      <c r="F6" s="77"/>
      <c r="G6" s="26" t="str">
        <f>IF(COUNTA(D6:F6,I6:K6)=0,"",IF(AND(I6&gt;0,J6&gt;=I6),"Finished","Reading"))</f>
        <v/>
      </c>
      <c r="H6" s="79"/>
      <c r="I6" s="77"/>
      <c r="J6" s="77"/>
      <c r="K6" s="77"/>
      <c r="L6" s="27" t="str">
        <f>IF(COUNTA(D6:F6,I6:K6)=0,"",IF(AND(I6&gt;0,J6&gt;=I6),"Book completed",IF(K6=0,"Set Target Days",ROUNDUP(I6/K6,0))))</f>
        <v/>
      </c>
    </row>
    <row r="7" spans="2:20" ht="37.799999999999997" customHeight="1" thickBot="1" x14ac:dyDescent="0.35">
      <c r="D7" s="102"/>
      <c r="E7" s="81"/>
      <c r="F7" s="81"/>
      <c r="G7" s="82" t="str">
        <f>IF(COUNTA(D7:F7,I7:K7)=0,"",IF(AND(I7&gt;0,J7&gt;=I7),"Finished","Reading"))</f>
        <v/>
      </c>
      <c r="H7" s="83"/>
      <c r="I7" s="81"/>
      <c r="J7" s="81"/>
      <c r="K7" s="81"/>
      <c r="L7" s="86" t="str">
        <f t="shared" ref="L7:L70" si="0">IF(COUNTA(D7:F7,I7:K7)=0,"",IF(AND(I7&gt;0,J7&gt;=I7),"Book completed",IF(K7=0,"Set Target Days",ROUNDUP(I7/K7,0))))</f>
        <v/>
      </c>
      <c r="N7" s="192" t="s">
        <v>47</v>
      </c>
      <c r="O7" s="193"/>
      <c r="S7" s="178" t="s">
        <v>42</v>
      </c>
      <c r="T7" s="179"/>
    </row>
    <row r="8" spans="2:20" ht="37.799999999999997" customHeight="1" thickBot="1" x14ac:dyDescent="0.35">
      <c r="D8" s="103"/>
      <c r="E8" s="78"/>
      <c r="F8" s="78"/>
      <c r="G8" s="25" t="str">
        <f t="shared" ref="G8:G71" si="1">IF(COUNTA(D8:F8,I8:K8)=0,"",IF(AND(I8&gt;0,J8&gt;=I8),"Finished","Reading"))</f>
        <v/>
      </c>
      <c r="H8" s="80"/>
      <c r="I8" s="78"/>
      <c r="J8" s="78"/>
      <c r="K8" s="78"/>
      <c r="L8" s="27" t="str">
        <f t="shared" si="0"/>
        <v/>
      </c>
      <c r="N8" s="194">
        <f>SUM(I:I)-SUM(J:J)</f>
        <v>0</v>
      </c>
      <c r="O8" s="195"/>
      <c r="S8" s="180" t="str">
        <f>IF(MAX(CONFIG!H7:H27)=0,"-",INDEX(CONFIG!G7:G27,MATCH(MAX(CONFIG!H7:H27),CONFIG!H7:H27,0)))</f>
        <v>-</v>
      </c>
      <c r="T8" s="181"/>
    </row>
    <row r="9" spans="2:20" ht="37.799999999999997" customHeight="1" thickBot="1" x14ac:dyDescent="0.35">
      <c r="D9" s="102"/>
      <c r="E9" s="81"/>
      <c r="F9" s="81"/>
      <c r="G9" s="84" t="str">
        <f t="shared" si="1"/>
        <v/>
      </c>
      <c r="H9" s="83"/>
      <c r="I9" s="85"/>
      <c r="J9" s="85"/>
      <c r="K9" s="85"/>
      <c r="L9" s="86" t="str">
        <f t="shared" si="0"/>
        <v/>
      </c>
      <c r="N9" s="196"/>
      <c r="O9" s="197"/>
      <c r="S9" s="182"/>
      <c r="T9" s="183"/>
    </row>
    <row r="10" spans="2:20" ht="37.799999999999997" customHeight="1" thickBot="1" x14ac:dyDescent="0.35">
      <c r="D10" s="103"/>
      <c r="E10" s="78"/>
      <c r="F10" s="78"/>
      <c r="G10" s="26" t="str">
        <f t="shared" si="1"/>
        <v/>
      </c>
      <c r="H10" s="80"/>
      <c r="I10" s="77"/>
      <c r="J10" s="77"/>
      <c r="K10" s="77"/>
      <c r="L10" s="27" t="str">
        <f t="shared" si="0"/>
        <v/>
      </c>
      <c r="N10" s="35"/>
      <c r="P10" s="36"/>
    </row>
    <row r="11" spans="2:20" ht="37.799999999999997" customHeight="1" thickTop="1" thickBot="1" x14ac:dyDescent="0.35">
      <c r="D11" s="102"/>
      <c r="E11" s="81"/>
      <c r="F11" s="81"/>
      <c r="G11" s="84" t="str">
        <f t="shared" si="1"/>
        <v/>
      </c>
      <c r="H11" s="83"/>
      <c r="I11" s="85"/>
      <c r="J11" s="85"/>
      <c r="K11" s="85"/>
      <c r="L11" s="86" t="str">
        <f t="shared" si="0"/>
        <v/>
      </c>
      <c r="N11" s="24" t="s">
        <v>48</v>
      </c>
      <c r="O11" s="198" t="s">
        <v>45</v>
      </c>
      <c r="P11" s="199"/>
      <c r="Q11" s="199"/>
      <c r="R11" s="199"/>
      <c r="S11" s="200"/>
      <c r="T11" s="24" t="s">
        <v>46</v>
      </c>
    </row>
    <row r="12" spans="2:20" ht="37.799999999999997" customHeight="1" thickTop="1" thickBot="1" x14ac:dyDescent="0.35">
      <c r="D12" s="103"/>
      <c r="E12" s="78"/>
      <c r="F12" s="78"/>
      <c r="G12" s="26" t="str">
        <f t="shared" si="1"/>
        <v/>
      </c>
      <c r="H12" s="80"/>
      <c r="I12" s="77"/>
      <c r="J12" s="77"/>
      <c r="K12" s="77"/>
      <c r="L12" s="27" t="str">
        <f t="shared" si="0"/>
        <v/>
      </c>
      <c r="N12" s="100"/>
      <c r="O12" s="167">
        <f>IF(N12=0,0,MIN(1,N3/N12))</f>
        <v>0</v>
      </c>
      <c r="P12" s="168"/>
      <c r="Q12" s="168"/>
      <c r="R12" s="168"/>
      <c r="S12" s="169"/>
      <c r="T12" s="23">
        <f>IF(N12=0,0, MIN(1,N3/N12))</f>
        <v>0</v>
      </c>
    </row>
    <row r="13" spans="2:20" ht="37.799999999999997" customHeight="1" thickBot="1" x14ac:dyDescent="0.35">
      <c r="D13" s="102"/>
      <c r="E13" s="81"/>
      <c r="F13" s="81"/>
      <c r="G13" s="84" t="str">
        <f t="shared" si="1"/>
        <v/>
      </c>
      <c r="H13" s="83"/>
      <c r="I13" s="85"/>
      <c r="J13" s="85"/>
      <c r="K13" s="85"/>
      <c r="L13" s="86" t="str">
        <f t="shared" si="0"/>
        <v/>
      </c>
    </row>
    <row r="14" spans="2:20" ht="37.799999999999997" customHeight="1" thickBot="1" x14ac:dyDescent="0.35">
      <c r="D14" s="103"/>
      <c r="E14" s="78"/>
      <c r="F14" s="78"/>
      <c r="G14" s="25" t="str">
        <f t="shared" si="1"/>
        <v/>
      </c>
      <c r="H14" s="80"/>
      <c r="I14" s="78"/>
      <c r="J14" s="78"/>
      <c r="K14" s="78"/>
      <c r="L14" s="27" t="str">
        <f t="shared" si="0"/>
        <v/>
      </c>
    </row>
    <row r="15" spans="2:20" ht="37.799999999999997" customHeight="1" thickBot="1" x14ac:dyDescent="0.35">
      <c r="D15" s="102"/>
      <c r="E15" s="81"/>
      <c r="F15" s="81"/>
      <c r="G15" s="82" t="str">
        <f t="shared" si="1"/>
        <v/>
      </c>
      <c r="H15" s="83"/>
      <c r="I15" s="81"/>
      <c r="J15" s="81"/>
      <c r="K15" s="81"/>
      <c r="L15" s="86" t="str">
        <f t="shared" si="0"/>
        <v/>
      </c>
    </row>
    <row r="16" spans="2:20" ht="37.799999999999997" customHeight="1" thickBot="1" x14ac:dyDescent="0.35">
      <c r="D16" s="101"/>
      <c r="E16" s="77"/>
      <c r="F16" s="78"/>
      <c r="G16" s="26" t="str">
        <f t="shared" si="1"/>
        <v/>
      </c>
      <c r="H16" s="79"/>
      <c r="I16" s="77"/>
      <c r="J16" s="77"/>
      <c r="K16" s="77"/>
      <c r="L16" s="27" t="str">
        <f t="shared" si="0"/>
        <v/>
      </c>
    </row>
    <row r="17" spans="4:12" ht="37.799999999999997" customHeight="1" thickBot="1" x14ac:dyDescent="0.35">
      <c r="D17" s="104"/>
      <c r="E17" s="85"/>
      <c r="F17" s="81"/>
      <c r="G17" s="84" t="str">
        <f t="shared" si="1"/>
        <v/>
      </c>
      <c r="H17" s="87"/>
      <c r="I17" s="85"/>
      <c r="J17" s="85"/>
      <c r="K17" s="85"/>
      <c r="L17" s="86" t="str">
        <f t="shared" si="0"/>
        <v/>
      </c>
    </row>
    <row r="18" spans="4:12" ht="37.799999999999997" customHeight="1" thickBot="1" x14ac:dyDescent="0.35">
      <c r="D18" s="101"/>
      <c r="E18" s="77"/>
      <c r="F18" s="78"/>
      <c r="G18" s="26" t="str">
        <f t="shared" si="1"/>
        <v/>
      </c>
      <c r="H18" s="79"/>
      <c r="I18" s="77"/>
      <c r="J18" s="77"/>
      <c r="K18" s="77"/>
      <c r="L18" s="27" t="str">
        <f t="shared" si="0"/>
        <v/>
      </c>
    </row>
    <row r="19" spans="4:12" ht="37.799999999999997" customHeight="1" thickBot="1" x14ac:dyDescent="0.35">
      <c r="D19" s="104"/>
      <c r="E19" s="85"/>
      <c r="F19" s="81"/>
      <c r="G19" s="84" t="str">
        <f t="shared" si="1"/>
        <v/>
      </c>
      <c r="H19" s="87"/>
      <c r="I19" s="85"/>
      <c r="J19" s="85"/>
      <c r="K19" s="85"/>
      <c r="L19" s="86" t="str">
        <f t="shared" si="0"/>
        <v/>
      </c>
    </row>
    <row r="20" spans="4:12" ht="37.799999999999997" customHeight="1" thickBot="1" x14ac:dyDescent="0.35">
      <c r="D20" s="101"/>
      <c r="E20" s="77"/>
      <c r="F20" s="78"/>
      <c r="G20" s="26" t="str">
        <f t="shared" si="1"/>
        <v/>
      </c>
      <c r="H20" s="79"/>
      <c r="I20" s="77"/>
      <c r="J20" s="77"/>
      <c r="K20" s="77"/>
      <c r="L20" s="27" t="str">
        <f t="shared" si="0"/>
        <v/>
      </c>
    </row>
    <row r="21" spans="4:12" ht="37.799999999999997" customHeight="1" thickBot="1" x14ac:dyDescent="0.35">
      <c r="D21" s="104"/>
      <c r="E21" s="85"/>
      <c r="F21" s="81"/>
      <c r="G21" s="84" t="str">
        <f t="shared" si="1"/>
        <v/>
      </c>
      <c r="H21" s="87"/>
      <c r="I21" s="85"/>
      <c r="J21" s="85"/>
      <c r="K21" s="85"/>
      <c r="L21" s="86" t="str">
        <f t="shared" si="0"/>
        <v/>
      </c>
    </row>
    <row r="22" spans="4:12" ht="37.799999999999997" customHeight="1" thickBot="1" x14ac:dyDescent="0.35">
      <c r="D22" s="103"/>
      <c r="E22" s="78"/>
      <c r="F22" s="78"/>
      <c r="G22" s="25" t="str">
        <f t="shared" si="1"/>
        <v/>
      </c>
      <c r="H22" s="80"/>
      <c r="I22" s="78"/>
      <c r="J22" s="78"/>
      <c r="K22" s="78"/>
      <c r="L22" s="27" t="str">
        <f t="shared" si="0"/>
        <v/>
      </c>
    </row>
    <row r="23" spans="4:12" ht="37.799999999999997" customHeight="1" thickBot="1" x14ac:dyDescent="0.35">
      <c r="D23" s="104"/>
      <c r="E23" s="85"/>
      <c r="F23" s="81"/>
      <c r="G23" s="84" t="str">
        <f t="shared" si="1"/>
        <v/>
      </c>
      <c r="H23" s="87"/>
      <c r="I23" s="85"/>
      <c r="J23" s="85"/>
      <c r="K23" s="85"/>
      <c r="L23" s="86" t="str">
        <f t="shared" si="0"/>
        <v/>
      </c>
    </row>
    <row r="24" spans="4:12" ht="37.799999999999997" customHeight="1" thickBot="1" x14ac:dyDescent="0.35">
      <c r="D24" s="101"/>
      <c r="E24" s="77"/>
      <c r="F24" s="78"/>
      <c r="G24" s="26" t="str">
        <f t="shared" si="1"/>
        <v/>
      </c>
      <c r="H24" s="79"/>
      <c r="I24" s="77"/>
      <c r="J24" s="77"/>
      <c r="K24" s="77"/>
      <c r="L24" s="27" t="str">
        <f t="shared" si="0"/>
        <v/>
      </c>
    </row>
    <row r="25" spans="4:12" ht="37.799999999999997" customHeight="1" thickBot="1" x14ac:dyDescent="0.35">
      <c r="D25" s="104"/>
      <c r="E25" s="85"/>
      <c r="F25" s="81"/>
      <c r="G25" s="84" t="str">
        <f t="shared" si="1"/>
        <v/>
      </c>
      <c r="H25" s="87"/>
      <c r="I25" s="85"/>
      <c r="J25" s="85"/>
      <c r="K25" s="85"/>
      <c r="L25" s="86" t="str">
        <f t="shared" si="0"/>
        <v/>
      </c>
    </row>
    <row r="26" spans="4:12" ht="37.799999999999997" customHeight="1" thickBot="1" x14ac:dyDescent="0.35">
      <c r="D26" s="101"/>
      <c r="E26" s="77"/>
      <c r="F26" s="78"/>
      <c r="G26" s="26" t="str">
        <f t="shared" si="1"/>
        <v/>
      </c>
      <c r="H26" s="79"/>
      <c r="I26" s="77"/>
      <c r="J26" s="77"/>
      <c r="K26" s="77"/>
      <c r="L26" s="27" t="str">
        <f t="shared" si="0"/>
        <v/>
      </c>
    </row>
    <row r="27" spans="4:12" ht="37.799999999999997" customHeight="1" thickBot="1" x14ac:dyDescent="0.35">
      <c r="D27" s="104"/>
      <c r="E27" s="85"/>
      <c r="F27" s="81"/>
      <c r="G27" s="84" t="str">
        <f t="shared" si="1"/>
        <v/>
      </c>
      <c r="H27" s="87"/>
      <c r="I27" s="85"/>
      <c r="J27" s="85"/>
      <c r="K27" s="85"/>
      <c r="L27" s="86" t="str">
        <f t="shared" si="0"/>
        <v/>
      </c>
    </row>
    <row r="28" spans="4:12" ht="37.799999999999997" customHeight="1" thickBot="1" x14ac:dyDescent="0.35">
      <c r="D28" s="101"/>
      <c r="E28" s="77"/>
      <c r="F28" s="78"/>
      <c r="G28" s="26" t="str">
        <f t="shared" si="1"/>
        <v/>
      </c>
      <c r="H28" s="79"/>
      <c r="I28" s="77"/>
      <c r="J28" s="77"/>
      <c r="K28" s="77"/>
      <c r="L28" s="27" t="str">
        <f t="shared" si="0"/>
        <v/>
      </c>
    </row>
    <row r="29" spans="4:12" ht="37.799999999999997" customHeight="1" thickBot="1" x14ac:dyDescent="0.35">
      <c r="D29" s="104"/>
      <c r="E29" s="85"/>
      <c r="F29" s="81"/>
      <c r="G29" s="84" t="str">
        <f t="shared" si="1"/>
        <v/>
      </c>
      <c r="H29" s="87"/>
      <c r="I29" s="85"/>
      <c r="J29" s="85"/>
      <c r="K29" s="85"/>
      <c r="L29" s="86" t="str">
        <f t="shared" si="0"/>
        <v/>
      </c>
    </row>
    <row r="30" spans="4:12" ht="37.799999999999997" customHeight="1" thickBot="1" x14ac:dyDescent="0.35">
      <c r="D30" s="101"/>
      <c r="E30" s="77"/>
      <c r="F30" s="78"/>
      <c r="G30" s="26" t="str">
        <f t="shared" si="1"/>
        <v/>
      </c>
      <c r="H30" s="79"/>
      <c r="I30" s="77"/>
      <c r="J30" s="77"/>
      <c r="K30" s="77"/>
      <c r="L30" s="27" t="str">
        <f t="shared" si="0"/>
        <v/>
      </c>
    </row>
    <row r="31" spans="4:12" ht="37.799999999999997" customHeight="1" thickBot="1" x14ac:dyDescent="0.35">
      <c r="D31" s="104"/>
      <c r="E31" s="85"/>
      <c r="F31" s="81"/>
      <c r="G31" s="84" t="str">
        <f t="shared" si="1"/>
        <v/>
      </c>
      <c r="H31" s="87"/>
      <c r="I31" s="85"/>
      <c r="J31" s="85"/>
      <c r="K31" s="85"/>
      <c r="L31" s="86" t="str">
        <f t="shared" si="0"/>
        <v/>
      </c>
    </row>
    <row r="32" spans="4:12" ht="37.799999999999997" customHeight="1" thickBot="1" x14ac:dyDescent="0.35">
      <c r="D32" s="101"/>
      <c r="E32" s="77"/>
      <c r="F32" s="78"/>
      <c r="G32" s="26" t="str">
        <f t="shared" si="1"/>
        <v/>
      </c>
      <c r="H32" s="79"/>
      <c r="I32" s="77"/>
      <c r="J32" s="77"/>
      <c r="K32" s="77"/>
      <c r="L32" s="27" t="str">
        <f t="shared" si="0"/>
        <v/>
      </c>
    </row>
    <row r="33" spans="4:12" ht="37.799999999999997" customHeight="1" thickBot="1" x14ac:dyDescent="0.35">
      <c r="D33" s="104"/>
      <c r="E33" s="85"/>
      <c r="F33" s="81"/>
      <c r="G33" s="84" t="str">
        <f t="shared" si="1"/>
        <v/>
      </c>
      <c r="H33" s="87"/>
      <c r="I33" s="85"/>
      <c r="J33" s="85"/>
      <c r="K33" s="85"/>
      <c r="L33" s="86" t="str">
        <f t="shared" si="0"/>
        <v/>
      </c>
    </row>
    <row r="34" spans="4:12" ht="37.799999999999997" customHeight="1" thickBot="1" x14ac:dyDescent="0.35">
      <c r="D34" s="101"/>
      <c r="E34" s="77"/>
      <c r="F34" s="78"/>
      <c r="G34" s="26" t="str">
        <f t="shared" si="1"/>
        <v/>
      </c>
      <c r="H34" s="79"/>
      <c r="I34" s="77"/>
      <c r="J34" s="77"/>
      <c r="K34" s="77"/>
      <c r="L34" s="27" t="str">
        <f t="shared" si="0"/>
        <v/>
      </c>
    </row>
    <row r="35" spans="4:12" ht="37.799999999999997" customHeight="1" thickBot="1" x14ac:dyDescent="0.35">
      <c r="D35" s="104"/>
      <c r="E35" s="85"/>
      <c r="F35" s="81"/>
      <c r="G35" s="84" t="str">
        <f t="shared" si="1"/>
        <v/>
      </c>
      <c r="H35" s="87"/>
      <c r="I35" s="85"/>
      <c r="J35" s="85"/>
      <c r="K35" s="85"/>
      <c r="L35" s="86" t="str">
        <f t="shared" si="0"/>
        <v/>
      </c>
    </row>
    <row r="36" spans="4:12" ht="37.799999999999997" customHeight="1" thickBot="1" x14ac:dyDescent="0.35">
      <c r="D36" s="101"/>
      <c r="E36" s="77"/>
      <c r="F36" s="78"/>
      <c r="G36" s="26" t="str">
        <f t="shared" si="1"/>
        <v/>
      </c>
      <c r="H36" s="79"/>
      <c r="I36" s="77"/>
      <c r="J36" s="77"/>
      <c r="K36" s="77"/>
      <c r="L36" s="27" t="str">
        <f t="shared" si="0"/>
        <v/>
      </c>
    </row>
    <row r="37" spans="4:12" ht="37.799999999999997" customHeight="1" thickBot="1" x14ac:dyDescent="0.35">
      <c r="D37" s="104"/>
      <c r="E37" s="85"/>
      <c r="F37" s="81"/>
      <c r="G37" s="84" t="str">
        <f t="shared" si="1"/>
        <v/>
      </c>
      <c r="H37" s="87"/>
      <c r="I37" s="85"/>
      <c r="J37" s="85"/>
      <c r="K37" s="85"/>
      <c r="L37" s="86" t="str">
        <f t="shared" si="0"/>
        <v/>
      </c>
    </row>
    <row r="38" spans="4:12" ht="37.799999999999997" customHeight="1" thickBot="1" x14ac:dyDescent="0.35">
      <c r="D38" s="101"/>
      <c r="E38" s="77"/>
      <c r="F38" s="78"/>
      <c r="G38" s="26" t="str">
        <f t="shared" si="1"/>
        <v/>
      </c>
      <c r="H38" s="79"/>
      <c r="I38" s="77"/>
      <c r="J38" s="77"/>
      <c r="K38" s="77"/>
      <c r="L38" s="27" t="str">
        <f t="shared" si="0"/>
        <v/>
      </c>
    </row>
    <row r="39" spans="4:12" ht="37.799999999999997" customHeight="1" thickBot="1" x14ac:dyDescent="0.35">
      <c r="D39" s="104"/>
      <c r="E39" s="85"/>
      <c r="F39" s="81"/>
      <c r="G39" s="84" t="str">
        <f t="shared" si="1"/>
        <v/>
      </c>
      <c r="H39" s="87"/>
      <c r="I39" s="85"/>
      <c r="J39" s="85"/>
      <c r="K39" s="85"/>
      <c r="L39" s="86" t="str">
        <f t="shared" si="0"/>
        <v/>
      </c>
    </row>
    <row r="40" spans="4:12" ht="37.799999999999997" customHeight="1" thickBot="1" x14ac:dyDescent="0.35">
      <c r="D40" s="101"/>
      <c r="E40" s="77"/>
      <c r="F40" s="78"/>
      <c r="G40" s="26" t="str">
        <f t="shared" si="1"/>
        <v/>
      </c>
      <c r="H40" s="79"/>
      <c r="I40" s="77"/>
      <c r="J40" s="77"/>
      <c r="K40" s="77"/>
      <c r="L40" s="27" t="str">
        <f t="shared" si="0"/>
        <v/>
      </c>
    </row>
    <row r="41" spans="4:12" ht="37.799999999999997" customHeight="1" thickBot="1" x14ac:dyDescent="0.35">
      <c r="D41" s="104"/>
      <c r="E41" s="85"/>
      <c r="F41" s="81"/>
      <c r="G41" s="84" t="str">
        <f t="shared" si="1"/>
        <v/>
      </c>
      <c r="H41" s="87"/>
      <c r="I41" s="85"/>
      <c r="J41" s="85"/>
      <c r="K41" s="85"/>
      <c r="L41" s="86" t="str">
        <f t="shared" si="0"/>
        <v/>
      </c>
    </row>
    <row r="42" spans="4:12" ht="37.799999999999997" customHeight="1" thickBot="1" x14ac:dyDescent="0.35">
      <c r="D42" s="101"/>
      <c r="E42" s="77"/>
      <c r="F42" s="78"/>
      <c r="G42" s="26" t="str">
        <f t="shared" si="1"/>
        <v/>
      </c>
      <c r="H42" s="79"/>
      <c r="I42" s="77"/>
      <c r="J42" s="77"/>
      <c r="K42" s="77"/>
      <c r="L42" s="27" t="str">
        <f t="shared" si="0"/>
        <v/>
      </c>
    </row>
    <row r="43" spans="4:12" ht="37.799999999999997" customHeight="1" thickBot="1" x14ac:dyDescent="0.35">
      <c r="D43" s="104"/>
      <c r="E43" s="85"/>
      <c r="F43" s="81"/>
      <c r="G43" s="84" t="str">
        <f t="shared" si="1"/>
        <v/>
      </c>
      <c r="H43" s="87"/>
      <c r="I43" s="85"/>
      <c r="J43" s="85"/>
      <c r="K43" s="85"/>
      <c r="L43" s="86" t="str">
        <f t="shared" si="0"/>
        <v/>
      </c>
    </row>
    <row r="44" spans="4:12" ht="37.799999999999997" customHeight="1" thickBot="1" x14ac:dyDescent="0.35">
      <c r="D44" s="101"/>
      <c r="E44" s="77"/>
      <c r="F44" s="78"/>
      <c r="G44" s="26" t="str">
        <f t="shared" si="1"/>
        <v/>
      </c>
      <c r="H44" s="79"/>
      <c r="I44" s="77"/>
      <c r="J44" s="77"/>
      <c r="K44" s="77"/>
      <c r="L44" s="27" t="str">
        <f t="shared" si="0"/>
        <v/>
      </c>
    </row>
    <row r="45" spans="4:12" ht="37.799999999999997" customHeight="1" thickBot="1" x14ac:dyDescent="0.35">
      <c r="D45" s="104"/>
      <c r="E45" s="85"/>
      <c r="F45" s="81"/>
      <c r="G45" s="84" t="str">
        <f t="shared" si="1"/>
        <v/>
      </c>
      <c r="H45" s="87"/>
      <c r="I45" s="85"/>
      <c r="J45" s="85"/>
      <c r="K45" s="85"/>
      <c r="L45" s="86" t="str">
        <f t="shared" si="0"/>
        <v/>
      </c>
    </row>
    <row r="46" spans="4:12" ht="37.799999999999997" customHeight="1" thickBot="1" x14ac:dyDescent="0.35">
      <c r="D46" s="101"/>
      <c r="E46" s="77"/>
      <c r="F46" s="78"/>
      <c r="G46" s="26" t="str">
        <f t="shared" si="1"/>
        <v/>
      </c>
      <c r="H46" s="79"/>
      <c r="I46" s="77"/>
      <c r="J46" s="77"/>
      <c r="K46" s="77"/>
      <c r="L46" s="27" t="str">
        <f t="shared" si="0"/>
        <v/>
      </c>
    </row>
    <row r="47" spans="4:12" ht="37.799999999999997" customHeight="1" thickBot="1" x14ac:dyDescent="0.35">
      <c r="D47" s="104"/>
      <c r="E47" s="85"/>
      <c r="F47" s="81"/>
      <c r="G47" s="84" t="str">
        <f t="shared" si="1"/>
        <v/>
      </c>
      <c r="H47" s="87"/>
      <c r="I47" s="85"/>
      <c r="J47" s="85"/>
      <c r="K47" s="85"/>
      <c r="L47" s="86" t="str">
        <f t="shared" si="0"/>
        <v/>
      </c>
    </row>
    <row r="48" spans="4:12" ht="37.799999999999997" customHeight="1" thickBot="1" x14ac:dyDescent="0.35">
      <c r="D48" s="101"/>
      <c r="E48" s="77"/>
      <c r="F48" s="78"/>
      <c r="G48" s="26" t="str">
        <f t="shared" si="1"/>
        <v/>
      </c>
      <c r="H48" s="79"/>
      <c r="I48" s="77"/>
      <c r="J48" s="77"/>
      <c r="K48" s="77"/>
      <c r="L48" s="27" t="str">
        <f t="shared" si="0"/>
        <v/>
      </c>
    </row>
    <row r="49" spans="4:12" ht="37.799999999999997" customHeight="1" thickBot="1" x14ac:dyDescent="0.35">
      <c r="D49" s="104"/>
      <c r="E49" s="85"/>
      <c r="F49" s="81"/>
      <c r="G49" s="84" t="str">
        <f t="shared" si="1"/>
        <v/>
      </c>
      <c r="H49" s="87"/>
      <c r="I49" s="85"/>
      <c r="J49" s="85"/>
      <c r="K49" s="85"/>
      <c r="L49" s="86" t="str">
        <f t="shared" si="0"/>
        <v/>
      </c>
    </row>
    <row r="50" spans="4:12" ht="37.799999999999997" customHeight="1" thickBot="1" x14ac:dyDescent="0.35">
      <c r="D50" s="101"/>
      <c r="E50" s="77"/>
      <c r="F50" s="78"/>
      <c r="G50" s="26" t="str">
        <f t="shared" si="1"/>
        <v/>
      </c>
      <c r="H50" s="79"/>
      <c r="I50" s="77"/>
      <c r="J50" s="77"/>
      <c r="K50" s="77"/>
      <c r="L50" s="27" t="str">
        <f t="shared" si="0"/>
        <v/>
      </c>
    </row>
    <row r="51" spans="4:12" ht="37.799999999999997" customHeight="1" thickBot="1" x14ac:dyDescent="0.35">
      <c r="D51" s="104"/>
      <c r="E51" s="85"/>
      <c r="F51" s="81"/>
      <c r="G51" s="84" t="str">
        <f t="shared" si="1"/>
        <v/>
      </c>
      <c r="H51" s="87"/>
      <c r="I51" s="85"/>
      <c r="J51" s="85"/>
      <c r="K51" s="85"/>
      <c r="L51" s="86" t="str">
        <f t="shared" si="0"/>
        <v/>
      </c>
    </row>
    <row r="52" spans="4:12" ht="37.799999999999997" customHeight="1" thickBot="1" x14ac:dyDescent="0.35">
      <c r="D52" s="101"/>
      <c r="E52" s="77"/>
      <c r="F52" s="78"/>
      <c r="G52" s="26" t="str">
        <f t="shared" si="1"/>
        <v/>
      </c>
      <c r="H52" s="79"/>
      <c r="I52" s="77"/>
      <c r="J52" s="77"/>
      <c r="K52" s="77"/>
      <c r="L52" s="27" t="str">
        <f t="shared" si="0"/>
        <v/>
      </c>
    </row>
    <row r="53" spans="4:12" ht="37.799999999999997" customHeight="1" thickBot="1" x14ac:dyDescent="0.35">
      <c r="D53" s="104"/>
      <c r="E53" s="85"/>
      <c r="F53" s="81"/>
      <c r="G53" s="84" t="str">
        <f t="shared" si="1"/>
        <v/>
      </c>
      <c r="H53" s="87"/>
      <c r="I53" s="85"/>
      <c r="J53" s="85"/>
      <c r="K53" s="85"/>
      <c r="L53" s="86" t="str">
        <f t="shared" si="0"/>
        <v/>
      </c>
    </row>
    <row r="54" spans="4:12" ht="37.799999999999997" customHeight="1" thickBot="1" x14ac:dyDescent="0.35">
      <c r="D54" s="101"/>
      <c r="E54" s="77"/>
      <c r="F54" s="78"/>
      <c r="G54" s="26" t="str">
        <f t="shared" si="1"/>
        <v/>
      </c>
      <c r="H54" s="79"/>
      <c r="I54" s="77"/>
      <c r="J54" s="77"/>
      <c r="K54" s="77"/>
      <c r="L54" s="27" t="str">
        <f t="shared" si="0"/>
        <v/>
      </c>
    </row>
    <row r="55" spans="4:12" ht="37.799999999999997" customHeight="1" thickBot="1" x14ac:dyDescent="0.35">
      <c r="D55" s="104"/>
      <c r="E55" s="85"/>
      <c r="F55" s="81"/>
      <c r="G55" s="84" t="str">
        <f t="shared" si="1"/>
        <v/>
      </c>
      <c r="H55" s="87"/>
      <c r="I55" s="85"/>
      <c r="J55" s="85"/>
      <c r="K55" s="85"/>
      <c r="L55" s="86" t="str">
        <f t="shared" si="0"/>
        <v/>
      </c>
    </row>
    <row r="56" spans="4:12" ht="37.799999999999997" customHeight="1" thickBot="1" x14ac:dyDescent="0.35">
      <c r="D56" s="101"/>
      <c r="E56" s="77"/>
      <c r="F56" s="78"/>
      <c r="G56" s="26" t="str">
        <f t="shared" si="1"/>
        <v/>
      </c>
      <c r="H56" s="79"/>
      <c r="I56" s="77"/>
      <c r="J56" s="77"/>
      <c r="K56" s="77"/>
      <c r="L56" s="27" t="str">
        <f t="shared" si="0"/>
        <v/>
      </c>
    </row>
    <row r="57" spans="4:12" ht="37.799999999999997" customHeight="1" thickBot="1" x14ac:dyDescent="0.35">
      <c r="D57" s="104"/>
      <c r="E57" s="85"/>
      <c r="F57" s="81"/>
      <c r="G57" s="84" t="str">
        <f t="shared" si="1"/>
        <v/>
      </c>
      <c r="H57" s="87"/>
      <c r="I57" s="85"/>
      <c r="J57" s="85"/>
      <c r="K57" s="85"/>
      <c r="L57" s="86" t="str">
        <f t="shared" si="0"/>
        <v/>
      </c>
    </row>
    <row r="58" spans="4:12" ht="37.799999999999997" customHeight="1" thickBot="1" x14ac:dyDescent="0.35">
      <c r="D58" s="101"/>
      <c r="E58" s="77"/>
      <c r="F58" s="78"/>
      <c r="G58" s="26" t="str">
        <f t="shared" si="1"/>
        <v/>
      </c>
      <c r="H58" s="79"/>
      <c r="I58" s="77"/>
      <c r="J58" s="77"/>
      <c r="K58" s="77"/>
      <c r="L58" s="27" t="str">
        <f t="shared" si="0"/>
        <v/>
      </c>
    </row>
    <row r="59" spans="4:12" ht="37.799999999999997" customHeight="1" thickBot="1" x14ac:dyDescent="0.35">
      <c r="D59" s="104"/>
      <c r="E59" s="85"/>
      <c r="F59" s="81"/>
      <c r="G59" s="84" t="str">
        <f t="shared" si="1"/>
        <v/>
      </c>
      <c r="H59" s="87"/>
      <c r="I59" s="85"/>
      <c r="J59" s="85"/>
      <c r="K59" s="85"/>
      <c r="L59" s="86" t="str">
        <f t="shared" si="0"/>
        <v/>
      </c>
    </row>
    <row r="60" spans="4:12" ht="37.799999999999997" customHeight="1" thickBot="1" x14ac:dyDescent="0.35">
      <c r="D60" s="101"/>
      <c r="E60" s="77"/>
      <c r="F60" s="78"/>
      <c r="G60" s="26" t="str">
        <f t="shared" si="1"/>
        <v/>
      </c>
      <c r="H60" s="79"/>
      <c r="I60" s="77"/>
      <c r="J60" s="77"/>
      <c r="K60" s="77"/>
      <c r="L60" s="27" t="str">
        <f t="shared" si="0"/>
        <v/>
      </c>
    </row>
    <row r="61" spans="4:12" ht="37.799999999999997" customHeight="1" thickBot="1" x14ac:dyDescent="0.35">
      <c r="D61" s="104"/>
      <c r="E61" s="85"/>
      <c r="F61" s="81"/>
      <c r="G61" s="84" t="str">
        <f t="shared" si="1"/>
        <v/>
      </c>
      <c r="H61" s="87"/>
      <c r="I61" s="85"/>
      <c r="J61" s="85"/>
      <c r="K61" s="85"/>
      <c r="L61" s="86" t="str">
        <f t="shared" si="0"/>
        <v/>
      </c>
    </row>
    <row r="62" spans="4:12" ht="37.799999999999997" customHeight="1" thickBot="1" x14ac:dyDescent="0.35">
      <c r="D62" s="101"/>
      <c r="E62" s="77"/>
      <c r="F62" s="78"/>
      <c r="G62" s="26" t="str">
        <f t="shared" si="1"/>
        <v/>
      </c>
      <c r="H62" s="79"/>
      <c r="I62" s="77"/>
      <c r="J62" s="77"/>
      <c r="K62" s="77"/>
      <c r="L62" s="27" t="str">
        <f t="shared" si="0"/>
        <v/>
      </c>
    </row>
    <row r="63" spans="4:12" ht="37.799999999999997" customHeight="1" thickBot="1" x14ac:dyDescent="0.35">
      <c r="D63" s="104"/>
      <c r="E63" s="85"/>
      <c r="F63" s="81"/>
      <c r="G63" s="84" t="str">
        <f t="shared" si="1"/>
        <v/>
      </c>
      <c r="H63" s="87"/>
      <c r="I63" s="85"/>
      <c r="J63" s="85"/>
      <c r="K63" s="85"/>
      <c r="L63" s="86" t="str">
        <f t="shared" si="0"/>
        <v/>
      </c>
    </row>
    <row r="64" spans="4:12" ht="37.799999999999997" customHeight="1" thickBot="1" x14ac:dyDescent="0.35">
      <c r="D64" s="101"/>
      <c r="E64" s="77"/>
      <c r="F64" s="78"/>
      <c r="G64" s="26" t="str">
        <f t="shared" si="1"/>
        <v/>
      </c>
      <c r="H64" s="79"/>
      <c r="I64" s="77"/>
      <c r="J64" s="77"/>
      <c r="K64" s="77"/>
      <c r="L64" s="27" t="str">
        <f t="shared" si="0"/>
        <v/>
      </c>
    </row>
    <row r="65" spans="4:12" ht="37.799999999999997" customHeight="1" thickBot="1" x14ac:dyDescent="0.35">
      <c r="D65" s="104"/>
      <c r="E65" s="85"/>
      <c r="F65" s="81"/>
      <c r="G65" s="84" t="str">
        <f t="shared" si="1"/>
        <v/>
      </c>
      <c r="H65" s="87"/>
      <c r="I65" s="85"/>
      <c r="J65" s="85"/>
      <c r="K65" s="85"/>
      <c r="L65" s="86" t="str">
        <f t="shared" si="0"/>
        <v/>
      </c>
    </row>
    <row r="66" spans="4:12" ht="37.799999999999997" customHeight="1" thickBot="1" x14ac:dyDescent="0.35">
      <c r="D66" s="101"/>
      <c r="E66" s="77"/>
      <c r="F66" s="78"/>
      <c r="G66" s="26" t="str">
        <f t="shared" si="1"/>
        <v/>
      </c>
      <c r="H66" s="79"/>
      <c r="I66" s="77"/>
      <c r="J66" s="77"/>
      <c r="K66" s="77"/>
      <c r="L66" s="27" t="str">
        <f t="shared" si="0"/>
        <v/>
      </c>
    </row>
    <row r="67" spans="4:12" ht="37.799999999999997" customHeight="1" thickBot="1" x14ac:dyDescent="0.35">
      <c r="D67" s="104"/>
      <c r="E67" s="85"/>
      <c r="F67" s="81"/>
      <c r="G67" s="84" t="str">
        <f t="shared" si="1"/>
        <v/>
      </c>
      <c r="H67" s="87"/>
      <c r="I67" s="85"/>
      <c r="J67" s="85"/>
      <c r="K67" s="85"/>
      <c r="L67" s="86" t="str">
        <f t="shared" si="0"/>
        <v/>
      </c>
    </row>
    <row r="68" spans="4:12" ht="37.799999999999997" customHeight="1" thickBot="1" x14ac:dyDescent="0.35">
      <c r="D68" s="101"/>
      <c r="E68" s="77"/>
      <c r="F68" s="78"/>
      <c r="G68" s="26" t="str">
        <f t="shared" si="1"/>
        <v/>
      </c>
      <c r="H68" s="79"/>
      <c r="I68" s="77"/>
      <c r="J68" s="77"/>
      <c r="K68" s="77"/>
      <c r="L68" s="27" t="str">
        <f t="shared" si="0"/>
        <v/>
      </c>
    </row>
    <row r="69" spans="4:12" ht="37.799999999999997" customHeight="1" thickBot="1" x14ac:dyDescent="0.35">
      <c r="D69" s="104"/>
      <c r="E69" s="85"/>
      <c r="F69" s="81"/>
      <c r="G69" s="84" t="str">
        <f t="shared" si="1"/>
        <v/>
      </c>
      <c r="H69" s="87"/>
      <c r="I69" s="85"/>
      <c r="J69" s="85"/>
      <c r="K69" s="85"/>
      <c r="L69" s="86" t="str">
        <f t="shared" si="0"/>
        <v/>
      </c>
    </row>
    <row r="70" spans="4:12" ht="37.799999999999997" customHeight="1" thickBot="1" x14ac:dyDescent="0.35">
      <c r="D70" s="101"/>
      <c r="E70" s="77"/>
      <c r="F70" s="78"/>
      <c r="G70" s="26" t="str">
        <f t="shared" si="1"/>
        <v/>
      </c>
      <c r="H70" s="79"/>
      <c r="I70" s="77"/>
      <c r="J70" s="77"/>
      <c r="K70" s="77"/>
      <c r="L70" s="27" t="str">
        <f t="shared" si="0"/>
        <v/>
      </c>
    </row>
    <row r="71" spans="4:12" ht="37.799999999999997" customHeight="1" thickBot="1" x14ac:dyDescent="0.35">
      <c r="D71" s="104"/>
      <c r="E71" s="85"/>
      <c r="F71" s="81"/>
      <c r="G71" s="84" t="str">
        <f t="shared" si="1"/>
        <v/>
      </c>
      <c r="H71" s="87"/>
      <c r="I71" s="85"/>
      <c r="J71" s="85"/>
      <c r="K71" s="85"/>
      <c r="L71" s="86" t="str">
        <f t="shared" ref="L71:L106" si="2">IF(COUNTA(D71:F71,I71:K71)=0,"",IF(AND(I71&gt;0,J71&gt;=I71),"Book completed",IF(K71=0,"Set Target Days",ROUNDUP(I71/K71,0))))</f>
        <v/>
      </c>
    </row>
    <row r="72" spans="4:12" ht="37.799999999999997" customHeight="1" thickBot="1" x14ac:dyDescent="0.35">
      <c r="D72" s="101"/>
      <c r="E72" s="77"/>
      <c r="F72" s="78"/>
      <c r="G72" s="26" t="str">
        <f t="shared" ref="G72:G106" si="3">IF(COUNTA(D72:F72,I72:K72)=0,"",IF(AND(I72&gt;0,J72&gt;=I72),"Finished","Reading"))</f>
        <v/>
      </c>
      <c r="H72" s="79"/>
      <c r="I72" s="77"/>
      <c r="J72" s="77"/>
      <c r="K72" s="77"/>
      <c r="L72" s="27" t="str">
        <f t="shared" si="2"/>
        <v/>
      </c>
    </row>
    <row r="73" spans="4:12" ht="37.799999999999997" customHeight="1" thickBot="1" x14ac:dyDescent="0.35">
      <c r="D73" s="104"/>
      <c r="E73" s="85"/>
      <c r="F73" s="81"/>
      <c r="G73" s="84" t="str">
        <f t="shared" si="3"/>
        <v/>
      </c>
      <c r="H73" s="87"/>
      <c r="I73" s="85"/>
      <c r="J73" s="85"/>
      <c r="K73" s="85"/>
      <c r="L73" s="86" t="str">
        <f t="shared" si="2"/>
        <v/>
      </c>
    </row>
    <row r="74" spans="4:12" ht="37.799999999999997" customHeight="1" thickBot="1" x14ac:dyDescent="0.35">
      <c r="D74" s="101"/>
      <c r="E74" s="77"/>
      <c r="F74" s="78"/>
      <c r="G74" s="26" t="str">
        <f t="shared" si="3"/>
        <v/>
      </c>
      <c r="H74" s="79"/>
      <c r="I74" s="77"/>
      <c r="J74" s="77"/>
      <c r="K74" s="77"/>
      <c r="L74" s="27" t="str">
        <f t="shared" si="2"/>
        <v/>
      </c>
    </row>
    <row r="75" spans="4:12" ht="37.799999999999997" customHeight="1" thickBot="1" x14ac:dyDescent="0.35">
      <c r="D75" s="104"/>
      <c r="E75" s="85"/>
      <c r="F75" s="81"/>
      <c r="G75" s="84" t="str">
        <f t="shared" si="3"/>
        <v/>
      </c>
      <c r="H75" s="87"/>
      <c r="I75" s="85"/>
      <c r="J75" s="85"/>
      <c r="K75" s="85"/>
      <c r="L75" s="86" t="str">
        <f t="shared" si="2"/>
        <v/>
      </c>
    </row>
    <row r="76" spans="4:12" ht="37.799999999999997" customHeight="1" thickBot="1" x14ac:dyDescent="0.35">
      <c r="D76" s="101"/>
      <c r="E76" s="77"/>
      <c r="F76" s="78"/>
      <c r="G76" s="26" t="str">
        <f t="shared" si="3"/>
        <v/>
      </c>
      <c r="H76" s="79"/>
      <c r="I76" s="77"/>
      <c r="J76" s="77"/>
      <c r="K76" s="77"/>
      <c r="L76" s="27" t="str">
        <f t="shared" si="2"/>
        <v/>
      </c>
    </row>
    <row r="77" spans="4:12" ht="37.799999999999997" customHeight="1" thickBot="1" x14ac:dyDescent="0.35">
      <c r="D77" s="104"/>
      <c r="E77" s="85"/>
      <c r="F77" s="81"/>
      <c r="G77" s="84" t="str">
        <f t="shared" si="3"/>
        <v/>
      </c>
      <c r="H77" s="87"/>
      <c r="I77" s="85"/>
      <c r="J77" s="85"/>
      <c r="K77" s="85"/>
      <c r="L77" s="86" t="str">
        <f t="shared" si="2"/>
        <v/>
      </c>
    </row>
    <row r="78" spans="4:12" ht="37.799999999999997" customHeight="1" thickBot="1" x14ac:dyDescent="0.35">
      <c r="D78" s="101"/>
      <c r="E78" s="77"/>
      <c r="F78" s="78"/>
      <c r="G78" s="26" t="str">
        <f t="shared" si="3"/>
        <v/>
      </c>
      <c r="H78" s="79"/>
      <c r="I78" s="77"/>
      <c r="J78" s="77"/>
      <c r="K78" s="77"/>
      <c r="L78" s="27" t="str">
        <f t="shared" si="2"/>
        <v/>
      </c>
    </row>
    <row r="79" spans="4:12" ht="37.799999999999997" customHeight="1" thickBot="1" x14ac:dyDescent="0.35">
      <c r="D79" s="104"/>
      <c r="E79" s="85"/>
      <c r="F79" s="81"/>
      <c r="G79" s="84" t="str">
        <f t="shared" si="3"/>
        <v/>
      </c>
      <c r="H79" s="87"/>
      <c r="I79" s="85"/>
      <c r="J79" s="85"/>
      <c r="K79" s="85"/>
      <c r="L79" s="86" t="str">
        <f t="shared" si="2"/>
        <v/>
      </c>
    </row>
    <row r="80" spans="4:12" ht="37.799999999999997" customHeight="1" thickBot="1" x14ac:dyDescent="0.35">
      <c r="D80" s="101"/>
      <c r="E80" s="77"/>
      <c r="F80" s="78"/>
      <c r="G80" s="26" t="str">
        <f t="shared" si="3"/>
        <v/>
      </c>
      <c r="H80" s="79"/>
      <c r="I80" s="77"/>
      <c r="J80" s="77"/>
      <c r="K80" s="77"/>
      <c r="L80" s="27" t="str">
        <f t="shared" si="2"/>
        <v/>
      </c>
    </row>
    <row r="81" spans="4:12" ht="37.799999999999997" customHeight="1" thickBot="1" x14ac:dyDescent="0.35">
      <c r="D81" s="104"/>
      <c r="E81" s="85"/>
      <c r="F81" s="81"/>
      <c r="G81" s="84" t="str">
        <f t="shared" si="3"/>
        <v/>
      </c>
      <c r="H81" s="87"/>
      <c r="I81" s="85"/>
      <c r="J81" s="85"/>
      <c r="K81" s="85"/>
      <c r="L81" s="86" t="str">
        <f t="shared" si="2"/>
        <v/>
      </c>
    </row>
    <row r="82" spans="4:12" ht="37.799999999999997" customHeight="1" thickBot="1" x14ac:dyDescent="0.35">
      <c r="D82" s="101"/>
      <c r="E82" s="77"/>
      <c r="F82" s="78"/>
      <c r="G82" s="26" t="str">
        <f t="shared" si="3"/>
        <v/>
      </c>
      <c r="H82" s="79"/>
      <c r="I82" s="77"/>
      <c r="J82" s="77"/>
      <c r="K82" s="77"/>
      <c r="L82" s="27" t="str">
        <f t="shared" si="2"/>
        <v/>
      </c>
    </row>
    <row r="83" spans="4:12" ht="37.799999999999997" customHeight="1" thickBot="1" x14ac:dyDescent="0.35">
      <c r="D83" s="104"/>
      <c r="E83" s="85"/>
      <c r="F83" s="81"/>
      <c r="G83" s="84" t="str">
        <f t="shared" si="3"/>
        <v/>
      </c>
      <c r="H83" s="87"/>
      <c r="I83" s="85"/>
      <c r="J83" s="85"/>
      <c r="K83" s="85"/>
      <c r="L83" s="86" t="str">
        <f t="shared" si="2"/>
        <v/>
      </c>
    </row>
    <row r="84" spans="4:12" ht="37.799999999999997" customHeight="1" thickBot="1" x14ac:dyDescent="0.35">
      <c r="D84" s="101"/>
      <c r="E84" s="77"/>
      <c r="F84" s="78"/>
      <c r="G84" s="26" t="str">
        <f t="shared" si="3"/>
        <v/>
      </c>
      <c r="H84" s="79"/>
      <c r="I84" s="77"/>
      <c r="J84" s="77"/>
      <c r="K84" s="77"/>
      <c r="L84" s="27" t="str">
        <f t="shared" si="2"/>
        <v/>
      </c>
    </row>
    <row r="85" spans="4:12" ht="37.799999999999997" customHeight="1" thickBot="1" x14ac:dyDescent="0.35">
      <c r="D85" s="104"/>
      <c r="E85" s="85"/>
      <c r="F85" s="81"/>
      <c r="G85" s="84" t="str">
        <f t="shared" si="3"/>
        <v/>
      </c>
      <c r="H85" s="87"/>
      <c r="I85" s="85"/>
      <c r="J85" s="85"/>
      <c r="K85" s="85"/>
      <c r="L85" s="86" t="str">
        <f t="shared" si="2"/>
        <v/>
      </c>
    </row>
    <row r="86" spans="4:12" ht="37.799999999999997" customHeight="1" thickBot="1" x14ac:dyDescent="0.35">
      <c r="D86" s="101"/>
      <c r="E86" s="77"/>
      <c r="F86" s="78"/>
      <c r="G86" s="26" t="str">
        <f t="shared" si="3"/>
        <v/>
      </c>
      <c r="H86" s="79"/>
      <c r="I86" s="77"/>
      <c r="J86" s="77"/>
      <c r="K86" s="77"/>
      <c r="L86" s="27" t="str">
        <f t="shared" si="2"/>
        <v/>
      </c>
    </row>
    <row r="87" spans="4:12" ht="37.799999999999997" customHeight="1" thickBot="1" x14ac:dyDescent="0.35">
      <c r="D87" s="104"/>
      <c r="E87" s="85"/>
      <c r="F87" s="81"/>
      <c r="G87" s="84" t="str">
        <f t="shared" si="3"/>
        <v/>
      </c>
      <c r="H87" s="87"/>
      <c r="I87" s="85"/>
      <c r="J87" s="85"/>
      <c r="K87" s="85"/>
      <c r="L87" s="86" t="str">
        <f t="shared" si="2"/>
        <v/>
      </c>
    </row>
    <row r="88" spans="4:12" ht="37.799999999999997" customHeight="1" thickBot="1" x14ac:dyDescent="0.35">
      <c r="D88" s="101"/>
      <c r="E88" s="77"/>
      <c r="F88" s="78"/>
      <c r="G88" s="26" t="str">
        <f t="shared" si="3"/>
        <v/>
      </c>
      <c r="H88" s="79"/>
      <c r="I88" s="77"/>
      <c r="J88" s="77"/>
      <c r="K88" s="77"/>
      <c r="L88" s="27" t="str">
        <f t="shared" si="2"/>
        <v/>
      </c>
    </row>
    <row r="89" spans="4:12" ht="37.799999999999997" customHeight="1" thickBot="1" x14ac:dyDescent="0.35">
      <c r="D89" s="104"/>
      <c r="E89" s="85"/>
      <c r="F89" s="81"/>
      <c r="G89" s="84" t="str">
        <f t="shared" si="3"/>
        <v/>
      </c>
      <c r="H89" s="87"/>
      <c r="I89" s="85"/>
      <c r="J89" s="85"/>
      <c r="K89" s="85"/>
      <c r="L89" s="86" t="str">
        <f t="shared" si="2"/>
        <v/>
      </c>
    </row>
    <row r="90" spans="4:12" ht="37.799999999999997" customHeight="1" thickBot="1" x14ac:dyDescent="0.35">
      <c r="D90" s="101"/>
      <c r="E90" s="77"/>
      <c r="F90" s="78"/>
      <c r="G90" s="26" t="str">
        <f t="shared" si="3"/>
        <v/>
      </c>
      <c r="H90" s="79"/>
      <c r="I90" s="77"/>
      <c r="J90" s="77"/>
      <c r="K90" s="77"/>
      <c r="L90" s="27" t="str">
        <f t="shared" si="2"/>
        <v/>
      </c>
    </row>
    <row r="91" spans="4:12" ht="37.799999999999997" customHeight="1" thickBot="1" x14ac:dyDescent="0.35">
      <c r="D91" s="104"/>
      <c r="E91" s="85"/>
      <c r="F91" s="81"/>
      <c r="G91" s="84" t="str">
        <f t="shared" si="3"/>
        <v/>
      </c>
      <c r="H91" s="87"/>
      <c r="I91" s="85"/>
      <c r="J91" s="85"/>
      <c r="K91" s="85"/>
      <c r="L91" s="86" t="str">
        <f t="shared" si="2"/>
        <v/>
      </c>
    </row>
    <row r="92" spans="4:12" ht="37.799999999999997" customHeight="1" thickBot="1" x14ac:dyDescent="0.35">
      <c r="D92" s="101"/>
      <c r="E92" s="77"/>
      <c r="F92" s="78"/>
      <c r="G92" s="26" t="str">
        <f t="shared" si="3"/>
        <v/>
      </c>
      <c r="H92" s="79"/>
      <c r="I92" s="77"/>
      <c r="J92" s="77"/>
      <c r="K92" s="77"/>
      <c r="L92" s="27" t="str">
        <f t="shared" si="2"/>
        <v/>
      </c>
    </row>
    <row r="93" spans="4:12" ht="37.799999999999997" customHeight="1" thickBot="1" x14ac:dyDescent="0.35">
      <c r="D93" s="104"/>
      <c r="E93" s="85"/>
      <c r="F93" s="81"/>
      <c r="G93" s="84" t="str">
        <f t="shared" si="3"/>
        <v/>
      </c>
      <c r="H93" s="87"/>
      <c r="I93" s="85"/>
      <c r="J93" s="85"/>
      <c r="K93" s="85"/>
      <c r="L93" s="86" t="str">
        <f t="shared" si="2"/>
        <v/>
      </c>
    </row>
    <row r="94" spans="4:12" ht="37.799999999999997" customHeight="1" thickBot="1" x14ac:dyDescent="0.35">
      <c r="D94" s="101"/>
      <c r="E94" s="77"/>
      <c r="F94" s="78"/>
      <c r="G94" s="26" t="str">
        <f t="shared" si="3"/>
        <v/>
      </c>
      <c r="H94" s="79"/>
      <c r="I94" s="77"/>
      <c r="J94" s="77"/>
      <c r="K94" s="77"/>
      <c r="L94" s="27" t="str">
        <f t="shared" si="2"/>
        <v/>
      </c>
    </row>
    <row r="95" spans="4:12" ht="37.799999999999997" customHeight="1" thickBot="1" x14ac:dyDescent="0.35">
      <c r="D95" s="104"/>
      <c r="E95" s="85"/>
      <c r="F95" s="81"/>
      <c r="G95" s="84" t="str">
        <f t="shared" si="3"/>
        <v/>
      </c>
      <c r="H95" s="87"/>
      <c r="I95" s="85"/>
      <c r="J95" s="85"/>
      <c r="K95" s="85"/>
      <c r="L95" s="86" t="str">
        <f t="shared" si="2"/>
        <v/>
      </c>
    </row>
    <row r="96" spans="4:12" ht="37.799999999999997" customHeight="1" thickBot="1" x14ac:dyDescent="0.35">
      <c r="D96" s="101"/>
      <c r="E96" s="77"/>
      <c r="F96" s="78"/>
      <c r="G96" s="26" t="str">
        <f t="shared" si="3"/>
        <v/>
      </c>
      <c r="H96" s="79"/>
      <c r="I96" s="77"/>
      <c r="J96" s="77"/>
      <c r="K96" s="77"/>
      <c r="L96" s="27" t="str">
        <f t="shared" si="2"/>
        <v/>
      </c>
    </row>
    <row r="97" spans="4:12" ht="37.799999999999997" customHeight="1" thickBot="1" x14ac:dyDescent="0.35">
      <c r="D97" s="104"/>
      <c r="E97" s="85"/>
      <c r="F97" s="81"/>
      <c r="G97" s="84" t="str">
        <f t="shared" si="3"/>
        <v/>
      </c>
      <c r="H97" s="87"/>
      <c r="I97" s="85"/>
      <c r="J97" s="85"/>
      <c r="K97" s="85"/>
      <c r="L97" s="86" t="str">
        <f t="shared" si="2"/>
        <v/>
      </c>
    </row>
    <row r="98" spans="4:12" ht="37.799999999999997" customHeight="1" thickBot="1" x14ac:dyDescent="0.35">
      <c r="D98" s="101"/>
      <c r="E98" s="77"/>
      <c r="F98" s="78"/>
      <c r="G98" s="26" t="str">
        <f t="shared" si="3"/>
        <v/>
      </c>
      <c r="H98" s="79"/>
      <c r="I98" s="77"/>
      <c r="J98" s="77"/>
      <c r="K98" s="77"/>
      <c r="L98" s="27" t="str">
        <f t="shared" si="2"/>
        <v/>
      </c>
    </row>
    <row r="99" spans="4:12" ht="37.799999999999997" customHeight="1" thickBot="1" x14ac:dyDescent="0.35">
      <c r="D99" s="104"/>
      <c r="E99" s="85"/>
      <c r="F99" s="81"/>
      <c r="G99" s="84" t="str">
        <f t="shared" si="3"/>
        <v/>
      </c>
      <c r="H99" s="87"/>
      <c r="I99" s="85"/>
      <c r="J99" s="85"/>
      <c r="K99" s="85"/>
      <c r="L99" s="86" t="str">
        <f t="shared" si="2"/>
        <v/>
      </c>
    </row>
    <row r="100" spans="4:12" ht="37.799999999999997" customHeight="1" thickBot="1" x14ac:dyDescent="0.35">
      <c r="D100" s="101"/>
      <c r="E100" s="77"/>
      <c r="F100" s="78"/>
      <c r="G100" s="26" t="str">
        <f t="shared" si="3"/>
        <v/>
      </c>
      <c r="H100" s="79"/>
      <c r="I100" s="77"/>
      <c r="J100" s="77"/>
      <c r="K100" s="77"/>
      <c r="L100" s="27" t="str">
        <f t="shared" si="2"/>
        <v/>
      </c>
    </row>
    <row r="101" spans="4:12" ht="37.799999999999997" customHeight="1" thickBot="1" x14ac:dyDescent="0.35">
      <c r="D101" s="104"/>
      <c r="E101" s="85"/>
      <c r="F101" s="81"/>
      <c r="G101" s="84" t="str">
        <f t="shared" si="3"/>
        <v/>
      </c>
      <c r="H101" s="87"/>
      <c r="I101" s="85"/>
      <c r="J101" s="85"/>
      <c r="K101" s="85"/>
      <c r="L101" s="86" t="str">
        <f t="shared" si="2"/>
        <v/>
      </c>
    </row>
    <row r="102" spans="4:12" ht="37.799999999999997" customHeight="1" thickBot="1" x14ac:dyDescent="0.35">
      <c r="D102" s="101"/>
      <c r="E102" s="77"/>
      <c r="F102" s="78"/>
      <c r="G102" s="26" t="str">
        <f t="shared" si="3"/>
        <v/>
      </c>
      <c r="H102" s="79"/>
      <c r="I102" s="77"/>
      <c r="J102" s="77"/>
      <c r="K102" s="77"/>
      <c r="L102" s="27" t="str">
        <f t="shared" si="2"/>
        <v/>
      </c>
    </row>
    <row r="103" spans="4:12" ht="37.799999999999997" customHeight="1" thickBot="1" x14ac:dyDescent="0.35">
      <c r="D103" s="104"/>
      <c r="E103" s="85"/>
      <c r="F103" s="81"/>
      <c r="G103" s="84" t="str">
        <f t="shared" si="3"/>
        <v/>
      </c>
      <c r="H103" s="87"/>
      <c r="I103" s="85"/>
      <c r="J103" s="85"/>
      <c r="K103" s="85"/>
      <c r="L103" s="86" t="str">
        <f t="shared" si="2"/>
        <v/>
      </c>
    </row>
    <row r="104" spans="4:12" ht="37.799999999999997" customHeight="1" thickBot="1" x14ac:dyDescent="0.35">
      <c r="D104" s="101"/>
      <c r="E104" s="77"/>
      <c r="F104" s="78"/>
      <c r="G104" s="26" t="str">
        <f t="shared" si="3"/>
        <v/>
      </c>
      <c r="H104" s="79"/>
      <c r="I104" s="77"/>
      <c r="J104" s="77"/>
      <c r="K104" s="77"/>
      <c r="L104" s="27" t="str">
        <f t="shared" si="2"/>
        <v/>
      </c>
    </row>
    <row r="105" spans="4:12" ht="37.799999999999997" customHeight="1" thickBot="1" x14ac:dyDescent="0.35">
      <c r="D105" s="104"/>
      <c r="E105" s="85"/>
      <c r="F105" s="81"/>
      <c r="G105" s="84" t="str">
        <f t="shared" si="3"/>
        <v/>
      </c>
      <c r="H105" s="87"/>
      <c r="I105" s="85"/>
      <c r="J105" s="85"/>
      <c r="K105" s="85"/>
      <c r="L105" s="86" t="str">
        <f t="shared" si="2"/>
        <v/>
      </c>
    </row>
    <row r="106" spans="4:12" ht="37.799999999999997" customHeight="1" thickBot="1" x14ac:dyDescent="0.35">
      <c r="D106" s="103"/>
      <c r="E106" s="78"/>
      <c r="F106" s="78"/>
      <c r="G106" s="25" t="str">
        <f t="shared" si="3"/>
        <v/>
      </c>
      <c r="H106" s="80"/>
      <c r="I106" s="78"/>
      <c r="J106" s="78"/>
      <c r="K106" s="78"/>
      <c r="L106" s="27" t="str">
        <f t="shared" si="2"/>
        <v/>
      </c>
    </row>
  </sheetData>
  <sheetProtection sheet="1" selectLockedCells="1"/>
  <mergeCells count="11">
    <mergeCell ref="D2:L3"/>
    <mergeCell ref="O12:S12"/>
    <mergeCell ref="S2:T2"/>
    <mergeCell ref="S3:T5"/>
    <mergeCell ref="S7:T7"/>
    <mergeCell ref="S8:T9"/>
    <mergeCell ref="N2:O2"/>
    <mergeCell ref="N3:O5"/>
    <mergeCell ref="N7:O7"/>
    <mergeCell ref="N8:O9"/>
    <mergeCell ref="O11:S11"/>
  </mergeCells>
  <phoneticPr fontId="10" type="noConversion"/>
  <conditionalFormatting sqref="G6:G106">
    <cfRule type="expression" dxfId="17" priority="4">
      <formula>$G6="Finished"</formula>
    </cfRule>
    <cfRule type="expression" dxfId="16" priority="5">
      <formula>$G6="Reading"</formula>
    </cfRule>
  </conditionalFormatting>
  <conditionalFormatting sqref="G107:G1048576">
    <cfRule type="expression" dxfId="15" priority="7">
      <formula>$G107="Pending"</formula>
    </cfRule>
    <cfRule type="expression" dxfId="14" priority="8">
      <formula>$G107="Finished"</formula>
    </cfRule>
  </conditionalFormatting>
  <conditionalFormatting sqref="O12">
    <cfRule type="dataBar" priority="3">
      <dataBar showValue="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{3B09789E-C39E-4D84-AF32-CF43B25AC91D}</x14:id>
        </ext>
      </extLst>
    </cfRule>
  </conditionalFormatting>
  <dataValidations xWindow="835" yWindow="527" count="7">
    <dataValidation errorStyle="information" allowBlank="1" showInputMessage="1" showErrorMessage="1" promptTitle="Total Pages" prompt="Rate the book from 1 to 5 stars." sqref="I6" xr:uid="{A6CD6815-091A-4AAC-8BE8-22B550941262}"/>
    <dataValidation allowBlank="1" showInputMessage="1" showErrorMessage="1" promptTitle="Current Page" prompt="Enter the page you are currently reading." sqref="J6" xr:uid="{336F7249-16E4-479E-B9AD-C59F04EC17BE}"/>
    <dataValidation allowBlank="1" showInputMessage="1" showErrorMessage="1" promptTitle="Target Days" prompt="Enter how many days you want to take to finish this book." sqref="K6" xr:uid="{987F63C0-10C8-4D5E-ACAC-3B843773A625}"/>
    <dataValidation allowBlank="1" showInputMessage="1" showErrorMessage="1" promptTitle="Title" prompt="Enter the title of the book." sqref="D6" xr:uid="{19BD2F5E-D4F5-4422-9202-31C5CF8DAB0F}"/>
    <dataValidation allowBlank="1" showInputMessage="1" showErrorMessage="1" promptTitle="Author" prompt="Enter the author's name." sqref="E6" xr:uid="{F3722807-F705-46AD-AA8C-DB348B2C32AD}"/>
    <dataValidation allowBlank="1" showInputMessage="1" showErrorMessage="1" promptTitle="Status" prompt="Automatically updated based on your reading progress." sqref="G6" xr:uid="{CE682179-6E71-42E6-8F46-6B0E3CE7B764}"/>
    <dataValidation allowBlank="1" showInputMessage="1" showErrorMessage="1" promptTitle="Pages per day" prompt="Automatically calculated from Total Pages and Target Days." sqref="L6" xr:uid="{13662B4E-BA3A-44F9-9288-66C0262CE923}"/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09789E-C39E-4D84-AF32-CF43B25AC9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835" yWindow="527" count="4">
        <x14:dataValidation type="list" allowBlank="1" showInputMessage="1" showErrorMessage="1" promptTitle="Genre" prompt="Select the book genre." xr:uid="{8797D514-C4E7-46CB-80AF-99E664082672}">
          <x14:formula1>
            <xm:f>CONFIG!$G$7:$G$27</xm:f>
          </x14:formula1>
          <xm:sqref>F6</xm:sqref>
        </x14:dataValidation>
        <x14:dataValidation type="list" allowBlank="1" showInputMessage="1" showErrorMessage="1" errorTitle="Invalid Rating" error="Ratings can only be selected from the list._x000a_Choose a value from ★☆☆☆☆ to ★★★★★." promptTitle="Rating" prompt="Rate the book from 1 to 5 stars." xr:uid="{CB13EEBF-C06B-499E-A319-1FD61981ECEF}">
          <x14:formula1>
            <xm:f>CONFIG!$E$7:$E$12</xm:f>
          </x14:formula1>
          <xm:sqref>H6</xm:sqref>
        </x14:dataValidation>
        <x14:dataValidation type="list" allowBlank="1" showInputMessage="1" showErrorMessage="1" errorTitle="Invalid Rating" error="Ratings can only be selected from the list._x000a_Choose a value from ★☆☆☆☆ to ★★★★★." xr:uid="{546F9BC6-C82B-4A70-A19B-0DFBFB7966B6}">
          <x14:formula1>
            <xm:f>CONFIG!$E$7:$E$12</xm:f>
          </x14:formula1>
          <xm:sqref>H7:H106</xm:sqref>
        </x14:dataValidation>
        <x14:dataValidation type="list" allowBlank="1" showInputMessage="1" showErrorMessage="1" xr:uid="{D1A1688C-96F4-49B9-B642-3EC3FA0579C9}">
          <x14:formula1>
            <xm:f>CONFIG!$G$7:$G$27</xm:f>
          </x14:formula1>
          <xm:sqref>F7:F106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F7DC-BDA7-4158-A5F7-F42C08ECF7F2}">
  <sheetPr>
    <tabColor rgb="FF9B7FD4"/>
  </sheetPr>
  <dimension ref="D1:N13"/>
  <sheetViews>
    <sheetView showGridLines="0" showRowColHeaders="0" zoomScaleNormal="100" workbookViewId="0">
      <selection activeCell="D7" sqref="D7"/>
    </sheetView>
  </sheetViews>
  <sheetFormatPr defaultColWidth="11.5546875" defaultRowHeight="14.4" customHeight="1" x14ac:dyDescent="0.3"/>
  <cols>
    <col min="1" max="1" width="2" style="1" customWidth="1"/>
    <col min="2" max="2" width="22.6640625" style="1" customWidth="1"/>
    <col min="3" max="3" width="2" style="1" customWidth="1"/>
    <col min="4" max="4" width="51.33203125" style="1" customWidth="1"/>
    <col min="5" max="5" width="14.21875" style="1" customWidth="1"/>
    <col min="6" max="6" width="10.77734375" style="1" customWidth="1"/>
    <col min="7" max="7" width="12.109375" style="1" bestFit="1" customWidth="1"/>
    <col min="8" max="8" width="16" style="1" customWidth="1"/>
    <col min="9" max="9" width="6" style="1" bestFit="1" customWidth="1"/>
    <col min="10" max="10" width="16.88671875" style="1" customWidth="1"/>
    <col min="11" max="11" width="14.6640625" style="1" customWidth="1"/>
    <col min="12" max="12" width="2.6640625" style="1" customWidth="1"/>
    <col min="13" max="14" width="14.6640625" style="1" customWidth="1"/>
    <col min="15" max="15" width="2.6640625" style="1" customWidth="1"/>
    <col min="16" max="17" width="17.77734375" style="1" customWidth="1"/>
    <col min="18" max="16384" width="11.5546875" style="1"/>
  </cols>
  <sheetData>
    <row r="1" spans="4:14" ht="14.4" customHeight="1" thickBot="1" x14ac:dyDescent="0.35"/>
    <row r="2" spans="4:14" ht="33.6" customHeight="1" x14ac:dyDescent="0.3">
      <c r="D2" s="148" t="s">
        <v>88</v>
      </c>
      <c r="E2" s="149"/>
      <c r="F2" s="149"/>
      <c r="G2" s="149"/>
      <c r="H2" s="150"/>
      <c r="J2" s="204" t="s">
        <v>87</v>
      </c>
      <c r="K2" s="205"/>
      <c r="M2" s="206" t="s">
        <v>81</v>
      </c>
      <c r="N2" s="207"/>
    </row>
    <row r="3" spans="4:14" ht="25.2" customHeight="1" thickBot="1" x14ac:dyDescent="0.35">
      <c r="D3" s="151"/>
      <c r="E3" s="152"/>
      <c r="F3" s="152"/>
      <c r="G3" s="152"/>
      <c r="H3" s="153"/>
      <c r="J3" s="208" t="str" cm="1">
        <f t="array" ref="J3">IF(SUMPRODUCT(--(LEN(TRIM(D7:D13))&gt;0))=0,"NO CURRENT PROJECTS",IF(SUMPRODUCT(--(LEN(TRIM(D7:D13))&gt;0))=1,"1 PROJECT",SUMPRODUCT(--(LEN(TRIM(D7:D13))&gt;0))&amp;" PROJECTS"))</f>
        <v>NO CURRENT PROJECTS</v>
      </c>
      <c r="K3" s="209"/>
      <c r="M3" s="210" t="str">
        <f>IF(COUNT(I7:I13)=0,"NO CURRENT PROGRESS",AVERAGE(I7:I13))</f>
        <v>NO CURRENT PROGRESS</v>
      </c>
      <c r="N3" s="211"/>
    </row>
    <row r="4" spans="4:14" ht="7.2" customHeight="1" x14ac:dyDescent="0.3">
      <c r="D4" s="166" t="s">
        <v>77</v>
      </c>
      <c r="E4" s="166"/>
      <c r="F4" s="29"/>
      <c r="G4" s="29"/>
      <c r="H4" s="29"/>
    </row>
    <row r="5" spans="4:14" ht="14.4" customHeight="1" thickBot="1" x14ac:dyDescent="0.35">
      <c r="D5" s="166"/>
      <c r="E5" s="166"/>
    </row>
    <row r="6" spans="4:14" ht="20.399999999999999" customHeight="1" x14ac:dyDescent="0.35">
      <c r="D6" s="46" t="s">
        <v>78</v>
      </c>
      <c r="E6" s="47" t="s">
        <v>52</v>
      </c>
      <c r="F6" s="47" t="s">
        <v>53</v>
      </c>
      <c r="G6" s="47" t="s">
        <v>79</v>
      </c>
      <c r="H6" s="47" t="s">
        <v>83</v>
      </c>
      <c r="I6" s="47" t="s">
        <v>82</v>
      </c>
      <c r="J6" s="51" t="s">
        <v>80</v>
      </c>
      <c r="K6" s="201" t="s">
        <v>84</v>
      </c>
      <c r="L6" s="202"/>
      <c r="M6" s="202"/>
      <c r="N6" s="202"/>
    </row>
    <row r="7" spans="4:14" ht="43.95" customHeight="1" x14ac:dyDescent="0.3">
      <c r="D7" s="88"/>
      <c r="E7" s="89"/>
      <c r="F7" s="89"/>
      <c r="G7" s="105"/>
      <c r="H7" s="52">
        <f>I7</f>
        <v>0</v>
      </c>
      <c r="I7" s="94"/>
      <c r="J7" s="95"/>
    </row>
    <row r="8" spans="4:14" ht="43.95" customHeight="1" x14ac:dyDescent="0.3">
      <c r="D8" s="90"/>
      <c r="E8" s="91"/>
      <c r="F8" s="91"/>
      <c r="G8" s="106"/>
      <c r="H8" s="55">
        <f t="shared" ref="H8:H12" si="0">I8</f>
        <v>0</v>
      </c>
      <c r="I8" s="96"/>
      <c r="J8" s="97"/>
    </row>
    <row r="9" spans="4:14" ht="43.95" customHeight="1" x14ac:dyDescent="0.35">
      <c r="D9" s="88"/>
      <c r="E9" s="89"/>
      <c r="F9" s="89"/>
      <c r="G9" s="105"/>
      <c r="H9" s="52">
        <f t="shared" si="0"/>
        <v>0</v>
      </c>
      <c r="I9" s="94"/>
      <c r="J9" s="95"/>
      <c r="L9" s="203"/>
      <c r="M9" s="203"/>
      <c r="N9" s="53"/>
    </row>
    <row r="10" spans="4:14" ht="43.95" customHeight="1" x14ac:dyDescent="0.3">
      <c r="D10" s="90"/>
      <c r="E10" s="91"/>
      <c r="F10" s="91"/>
      <c r="G10" s="106"/>
      <c r="H10" s="55">
        <f t="shared" si="0"/>
        <v>0</v>
      </c>
      <c r="I10" s="96"/>
      <c r="J10" s="97"/>
      <c r="L10" s="54"/>
      <c r="M10" s="54"/>
      <c r="N10" s="54"/>
    </row>
    <row r="11" spans="4:14" ht="43.95" customHeight="1" x14ac:dyDescent="0.3">
      <c r="D11" s="88"/>
      <c r="E11" s="89"/>
      <c r="F11" s="89"/>
      <c r="G11" s="105"/>
      <c r="H11" s="52">
        <f t="shared" si="0"/>
        <v>0</v>
      </c>
      <c r="I11" s="94"/>
      <c r="J11" s="95"/>
    </row>
    <row r="12" spans="4:14" ht="43.8" customHeight="1" thickBot="1" x14ac:dyDescent="0.35">
      <c r="D12" s="92"/>
      <c r="E12" s="93"/>
      <c r="F12" s="91"/>
      <c r="G12" s="106"/>
      <c r="H12" s="55">
        <f t="shared" si="0"/>
        <v>0</v>
      </c>
      <c r="I12" s="98"/>
      <c r="J12" s="97"/>
    </row>
    <row r="13" spans="4:14" ht="45" customHeight="1" x14ac:dyDescent="0.3">
      <c r="D13" s="88"/>
      <c r="E13" s="89"/>
      <c r="F13" s="89"/>
      <c r="G13" s="105"/>
      <c r="H13" s="52">
        <f t="shared" ref="H13" si="1">I13</f>
        <v>0</v>
      </c>
      <c r="I13" s="94"/>
      <c r="J13" s="95"/>
    </row>
  </sheetData>
  <sheetProtection selectLockedCells="1"/>
  <mergeCells count="8">
    <mergeCell ref="D4:E5"/>
    <mergeCell ref="K6:N6"/>
    <mergeCell ref="L9:M9"/>
    <mergeCell ref="D2:H3"/>
    <mergeCell ref="J2:K2"/>
    <mergeCell ref="M2:N2"/>
    <mergeCell ref="J3:K3"/>
    <mergeCell ref="M3:N3"/>
  </mergeCells>
  <conditionalFormatting sqref="E7:E13">
    <cfRule type="expression" dxfId="13" priority="11">
      <formula>$E7="Other"</formula>
    </cfRule>
    <cfRule type="expression" dxfId="12" priority="12">
      <formula>$E7="Home"</formula>
    </cfRule>
    <cfRule type="expression" dxfId="11" priority="13">
      <formula>$E7="Finance"</formula>
    </cfRule>
    <cfRule type="expression" dxfId="10" priority="14">
      <formula>$E7="Finance"</formula>
    </cfRule>
    <cfRule type="expression" dxfId="9" priority="15">
      <formula>$E7="Health"</formula>
    </cfRule>
    <cfRule type="expression" dxfId="8" priority="16">
      <formula>$E7="Personal"</formula>
    </cfRule>
    <cfRule type="expression" dxfId="7" priority="17">
      <formula>$E7="Work"</formula>
    </cfRule>
    <cfRule type="expression" dxfId="6" priority="18">
      <formula>$E7="Study"</formula>
    </cfRule>
  </conditionalFormatting>
  <conditionalFormatting sqref="F7:F13">
    <cfRule type="expression" dxfId="5" priority="23">
      <formula>$F7="High"</formula>
    </cfRule>
    <cfRule type="expression" dxfId="4" priority="24">
      <formula>$F7="Medium"</formula>
    </cfRule>
    <cfRule type="expression" dxfId="3" priority="25">
      <formula>$F7="Low"</formula>
    </cfRule>
  </conditionalFormatting>
  <conditionalFormatting sqref="H7:H13">
    <cfRule type="dataBar" priority="1">
      <dataBar showValue="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{7386DC0E-D569-453F-8AB7-EDC1E0DE8C18}</x14:id>
        </ext>
      </extLst>
    </cfRule>
    <cfRule type="dataBar" priority="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{B40D96EE-2188-4FA2-9083-C39A21018FE3}</x14:id>
        </ext>
      </extLst>
    </cfRule>
    <cfRule type="dataBar" priority="3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{5BF82C77-B59B-4F3D-A44C-A7E78F1A6861}</x14:id>
        </ext>
      </extLst>
    </cfRule>
    <cfRule type="dataBar" priority="4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{5E0AB04B-D8D9-49EE-AD38-DB55758E7670}</x14:id>
        </ext>
      </extLst>
    </cfRule>
    <cfRule type="dataBar" priority="5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{B2D0B546-08F7-45DA-AAB2-2A27D6ECC9FD}</x14:id>
        </ext>
      </extLst>
    </cfRule>
    <cfRule type="dataBar" priority="6">
      <dataBar showValue="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{0C4E0653-76D9-4C19-A0E7-AB6D11294554}</x14:id>
        </ext>
      </extLst>
    </cfRule>
    <cfRule type="dataBar" priority="7">
      <dataBar showValue="0">
        <cfvo type="num" val="$I$7"/>
        <cfvo type="num" val="$I$7"/>
        <color rgb="FF00B050"/>
      </dataBar>
      <extLst>
        <ext xmlns:x14="http://schemas.microsoft.com/office/spreadsheetml/2009/9/main" uri="{B025F937-C7B1-47D3-B67F-A62EFF666E3E}">
          <x14:id>{2B3EB3D8-A2D4-44D1-87FA-C50130DEDFCD}</x14:id>
        </ext>
      </extLst>
    </cfRule>
    <cfRule type="expression" dxfId="2" priority="8">
      <formula>$H7="Done"</formula>
    </cfRule>
    <cfRule type="expression" dxfId="1" priority="9">
      <formula>$H7="In Progress"</formula>
    </cfRule>
    <cfRule type="expression" dxfId="0" priority="10">
      <formula>$H7="Pending"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6DC0E-D569-453F-8AB7-EDC1E0DE8C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0D96EE-2188-4FA2-9083-C39A21018F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F82C77-B59B-4F3D-A44C-A7E78F1A68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0AB04B-D8D9-49EE-AD38-DB55758E76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D0B546-08F7-45DA-AAB2-2A27D6ECC9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C4E0653-76D9-4C19-A0E7-AB6D1129455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3EB3D8-A2D4-44D1-87FA-C50130DEDFCD}">
            <x14:dataBar minLength="0" maxLength="100" gradient="0">
              <x14:cfvo type="num">
                <xm:f>$I$7</xm:f>
              </x14:cfvo>
              <x14:cfvo type="num">
                <xm:f>$I$7</xm:f>
              </x14:cfvo>
              <x14:negativeFillColor rgb="FFFF0000"/>
              <x14:axisColor rgb="FF000000"/>
            </x14:dataBar>
          </x14:cfRule>
          <xm:sqref>H7:H13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8C970BA-8129-4C7E-9C3B-539D31044757}">
          <x14:formula1>
            <xm:f>CONFIG!$J$7:$J$13</xm:f>
          </x14:formula1>
          <xm:sqref>E7:E13</xm:sqref>
        </x14:dataValidation>
        <x14:dataValidation type="list" allowBlank="1" showInputMessage="1" showErrorMessage="1" xr:uid="{81CF7E5D-F884-4B4A-82E1-20BE4F5B04ED}">
          <x14:formula1>
            <xm:f>CONFIG!$K$7:$K$9</xm:f>
          </x14:formula1>
          <xm:sqref>F7:F13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586A-5435-4771-A2AC-151FA12A4B3A}">
  <dimension ref="A1:O27"/>
  <sheetViews>
    <sheetView workbookViewId="0">
      <selection activeCell="K11" sqref="K11"/>
    </sheetView>
  </sheetViews>
  <sheetFormatPr defaultRowHeight="14.4" x14ac:dyDescent="0.3"/>
  <cols>
    <col min="1" max="1" width="8.88671875" style="1"/>
    <col min="2" max="2" width="9.21875" style="1" bestFit="1" customWidth="1"/>
    <col min="3" max="3" width="14.109375" style="1" bestFit="1" customWidth="1"/>
    <col min="4" max="4" width="8.88671875" style="1"/>
    <col min="5" max="5" width="11.5546875" style="1" bestFit="1" customWidth="1"/>
    <col min="6" max="6" width="2.88671875" style="1" customWidth="1"/>
    <col min="7" max="7" width="12.21875" style="1" bestFit="1" customWidth="1"/>
    <col min="8" max="11" width="8.88671875" style="1"/>
    <col min="12" max="12" width="8.77734375" style="1" customWidth="1"/>
    <col min="13" max="16384" width="8.88671875" style="1"/>
  </cols>
  <sheetData>
    <row r="1" spans="1:15" x14ac:dyDescent="0.3">
      <c r="A1" s="6"/>
    </row>
    <row r="2" spans="1:15" x14ac:dyDescent="0.3">
      <c r="C2" s="6"/>
      <c r="D2" s="6"/>
    </row>
    <row r="4" spans="1:15" ht="15" thickBot="1" x14ac:dyDescent="0.35"/>
    <row r="5" spans="1:15" ht="18" thickBot="1" x14ac:dyDescent="0.35">
      <c r="B5" s="212"/>
      <c r="C5" s="213"/>
      <c r="E5" s="212" t="s">
        <v>2</v>
      </c>
      <c r="F5" s="214"/>
      <c r="G5" s="214"/>
      <c r="H5" s="213"/>
      <c r="J5" s="212" t="s">
        <v>92</v>
      </c>
      <c r="K5" s="214"/>
      <c r="L5" s="214"/>
      <c r="M5" s="214"/>
      <c r="N5" s="214"/>
      <c r="O5" s="213"/>
    </row>
    <row r="6" spans="1:15" x14ac:dyDescent="0.3">
      <c r="B6" s="19"/>
      <c r="E6" s="17" t="s">
        <v>31</v>
      </c>
      <c r="F6" s="18"/>
      <c r="G6" s="17" t="s">
        <v>32</v>
      </c>
      <c r="J6" s="17" t="s">
        <v>60</v>
      </c>
      <c r="K6" s="17" t="s">
        <v>61</v>
      </c>
      <c r="L6" s="17" t="s">
        <v>36</v>
      </c>
      <c r="M6" s="17" t="s">
        <v>54</v>
      </c>
      <c r="N6" s="17" t="s">
        <v>85</v>
      </c>
      <c r="O6" s="17" t="s">
        <v>86</v>
      </c>
    </row>
    <row r="7" spans="1:15" ht="18" x14ac:dyDescent="0.35">
      <c r="B7" s="20"/>
      <c r="E7" s="15" t="s">
        <v>41</v>
      </c>
      <c r="G7" s="14" t="s">
        <v>44</v>
      </c>
      <c r="H7" s="14">
        <f>COUNTIF(BOOKS!F:F,CONFIG!G7)</f>
        <v>0</v>
      </c>
      <c r="J7" s="17" t="s">
        <v>56</v>
      </c>
      <c r="K7" s="17" t="s">
        <v>62</v>
      </c>
      <c r="L7" s="17" t="s">
        <v>65</v>
      </c>
      <c r="M7" s="17" t="s">
        <v>67</v>
      </c>
      <c r="N7" s="43">
        <f>COUNTIF(TASKS!E7:E27,"Personal")</f>
        <v>0</v>
      </c>
      <c r="O7" s="43">
        <f>COUNTIF(PROJECTS!$F$7:$F$13,"Low")</f>
        <v>0</v>
      </c>
    </row>
    <row r="8" spans="1:15" ht="18" x14ac:dyDescent="0.35">
      <c r="B8" s="21"/>
      <c r="E8" s="15" t="s">
        <v>3</v>
      </c>
      <c r="G8" s="14" t="s">
        <v>10</v>
      </c>
      <c r="H8" s="14">
        <f>COUNTIF(BOOKS!F:F,CONFIG!G8)</f>
        <v>0</v>
      </c>
      <c r="J8" s="17" t="s">
        <v>57</v>
      </c>
      <c r="K8" s="17" t="s">
        <v>63</v>
      </c>
      <c r="L8" s="17" t="s">
        <v>66</v>
      </c>
      <c r="M8" s="17" t="s">
        <v>68</v>
      </c>
      <c r="N8" s="43">
        <f>COUNTIF(TASKS!E7:E27,"Study")</f>
        <v>0</v>
      </c>
      <c r="O8" s="43">
        <f>COUNTIF(PROJECTS!$F$7:$F$13,"Medium")</f>
        <v>0</v>
      </c>
    </row>
    <row r="9" spans="1:15" ht="18" x14ac:dyDescent="0.35">
      <c r="B9" s="22"/>
      <c r="E9" s="15" t="s">
        <v>4</v>
      </c>
      <c r="G9" s="14" t="s">
        <v>11</v>
      </c>
      <c r="H9" s="14">
        <f>COUNTIF(BOOKS!F:F,CONFIG!G9)</f>
        <v>0</v>
      </c>
      <c r="J9" s="17" t="s">
        <v>58</v>
      </c>
      <c r="K9" s="17" t="s">
        <v>64</v>
      </c>
      <c r="L9" s="17" t="s">
        <v>55</v>
      </c>
      <c r="M9" s="17" t="s">
        <v>69</v>
      </c>
      <c r="N9" s="43">
        <f>COUNTIF(TASKS!E7:E27,"Work")</f>
        <v>0</v>
      </c>
      <c r="O9" s="43">
        <f>COUNTIF(PROJECTS!$F$7:$F$13,"High")</f>
        <v>0</v>
      </c>
    </row>
    <row r="10" spans="1:15" ht="18" x14ac:dyDescent="0.35">
      <c r="B10" s="22"/>
      <c r="E10" s="15" t="s">
        <v>5</v>
      </c>
      <c r="G10" s="14" t="s">
        <v>12</v>
      </c>
      <c r="H10" s="14">
        <f>COUNTIF(BOOKS!F:F,CONFIG!G10)</f>
        <v>0</v>
      </c>
      <c r="J10" s="17" t="s">
        <v>21</v>
      </c>
      <c r="M10" s="17" t="s">
        <v>70</v>
      </c>
      <c r="N10" s="43">
        <f>COUNTIF(TASKS!E7:E27,"Health")</f>
        <v>0</v>
      </c>
    </row>
    <row r="11" spans="1:15" ht="18" x14ac:dyDescent="0.35">
      <c r="B11" s="21"/>
      <c r="E11" s="15" t="s">
        <v>6</v>
      </c>
      <c r="G11" s="14" t="s">
        <v>13</v>
      </c>
      <c r="H11" s="14">
        <f>COUNTIF(BOOKS!F:F,CONFIG!G11)</f>
        <v>0</v>
      </c>
      <c r="J11" s="17" t="s">
        <v>13</v>
      </c>
      <c r="M11" s="17" t="s">
        <v>71</v>
      </c>
      <c r="N11" s="43">
        <f>COUNTIF(TASKS!E7:E27,"Finance")</f>
        <v>0</v>
      </c>
    </row>
    <row r="12" spans="1:15" ht="18" x14ac:dyDescent="0.35">
      <c r="B12" s="22"/>
      <c r="E12" s="15" t="s">
        <v>7</v>
      </c>
      <c r="G12" s="14" t="s">
        <v>14</v>
      </c>
      <c r="H12" s="14">
        <f>COUNTIF(BOOKS!F:F,CONFIG!G12)</f>
        <v>0</v>
      </c>
      <c r="J12" s="17" t="s">
        <v>59</v>
      </c>
      <c r="M12" s="17" t="s">
        <v>72</v>
      </c>
      <c r="N12" s="43">
        <f>COUNTIF(TASKS!E7:E27,"Home")</f>
        <v>0</v>
      </c>
    </row>
    <row r="13" spans="1:15" ht="15.6" x14ac:dyDescent="0.3">
      <c r="B13" s="20"/>
      <c r="E13" s="6"/>
      <c r="G13" s="14" t="s">
        <v>15</v>
      </c>
      <c r="H13" s="14">
        <f>COUNTIF(BOOKS!F:F,CONFIG!G13)</f>
        <v>0</v>
      </c>
      <c r="J13" s="17" t="s">
        <v>29</v>
      </c>
      <c r="M13" s="17" t="s">
        <v>73</v>
      </c>
      <c r="N13" s="43">
        <f>COUNTIF(TASKS!E7:E27,"Other")</f>
        <v>0</v>
      </c>
    </row>
    <row r="14" spans="1:15" ht="15.6" x14ac:dyDescent="0.3">
      <c r="B14" s="22"/>
      <c r="E14" s="6"/>
      <c r="G14" s="14" t="s">
        <v>16</v>
      </c>
      <c r="H14" s="14">
        <f>COUNTIF(BOOKS!F:F,CONFIG!G14)</f>
        <v>0</v>
      </c>
    </row>
    <row r="15" spans="1:15" ht="15.6" x14ac:dyDescent="0.3">
      <c r="B15" s="22"/>
      <c r="E15" s="6"/>
      <c r="G15" s="14" t="s">
        <v>17</v>
      </c>
      <c r="H15" s="14">
        <f>COUNTIF(BOOKS!F:F,CONFIG!G15)</f>
        <v>0</v>
      </c>
    </row>
    <row r="16" spans="1:15" ht="15.6" x14ac:dyDescent="0.3">
      <c r="B16" s="22"/>
      <c r="E16" s="6"/>
      <c r="G16" s="14" t="s">
        <v>18</v>
      </c>
      <c r="H16" s="14">
        <f>COUNTIF(BOOKS!F:F,CONFIG!G16)</f>
        <v>0</v>
      </c>
    </row>
    <row r="17" spans="2:8" ht="15.6" x14ac:dyDescent="0.3">
      <c r="B17" s="22"/>
      <c r="E17" s="6"/>
      <c r="G17" s="14" t="s">
        <v>19</v>
      </c>
      <c r="H17" s="14">
        <f>COUNTIF(BOOKS!F:F,CONFIG!G17)</f>
        <v>0</v>
      </c>
    </row>
    <row r="18" spans="2:8" ht="15.6" x14ac:dyDescent="0.3">
      <c r="B18" s="22"/>
      <c r="E18" s="6"/>
      <c r="G18" s="14" t="s">
        <v>20</v>
      </c>
      <c r="H18" s="14">
        <f>COUNTIF(BOOKS!F:F,CONFIG!G18)</f>
        <v>0</v>
      </c>
    </row>
    <row r="19" spans="2:8" ht="15.6" x14ac:dyDescent="0.3">
      <c r="B19" s="20"/>
      <c r="E19" s="6"/>
      <c r="G19" s="14" t="s">
        <v>21</v>
      </c>
      <c r="H19" s="14">
        <f>COUNTIF(BOOKS!F:F,CONFIG!G19)</f>
        <v>0</v>
      </c>
    </row>
    <row r="20" spans="2:8" ht="15.6" x14ac:dyDescent="0.3">
      <c r="B20" s="21"/>
      <c r="E20" s="6"/>
      <c r="G20" s="14" t="s">
        <v>22</v>
      </c>
      <c r="H20" s="14">
        <f>COUNTIF(BOOKS!F:F,CONFIG!G20)</f>
        <v>0</v>
      </c>
    </row>
    <row r="21" spans="2:8" ht="15.6" x14ac:dyDescent="0.3">
      <c r="B21" s="22"/>
      <c r="E21" s="6"/>
      <c r="G21" s="14" t="s">
        <v>23</v>
      </c>
      <c r="H21" s="14">
        <f>COUNTIF(BOOKS!F:F,CONFIG!G21)</f>
        <v>0</v>
      </c>
    </row>
    <row r="22" spans="2:8" ht="15.6" x14ac:dyDescent="0.3">
      <c r="B22" s="22"/>
      <c r="E22" s="6"/>
      <c r="G22" s="14" t="s">
        <v>24</v>
      </c>
      <c r="H22" s="14">
        <f>COUNTIF(BOOKS!F:F,CONFIG!G22)</f>
        <v>0</v>
      </c>
    </row>
    <row r="23" spans="2:8" ht="15.6" x14ac:dyDescent="0.3">
      <c r="B23" s="21"/>
      <c r="E23" s="6"/>
      <c r="G23" s="14" t="s">
        <v>25</v>
      </c>
      <c r="H23" s="14">
        <f>COUNTIF(BOOKS!F:F,CONFIG!G23)</f>
        <v>0</v>
      </c>
    </row>
    <row r="24" spans="2:8" ht="15.6" x14ac:dyDescent="0.3">
      <c r="B24" s="22"/>
      <c r="E24" s="6"/>
      <c r="G24" s="14" t="s">
        <v>26</v>
      </c>
      <c r="H24" s="14">
        <f>COUNTIF(BOOKS!F:F,CONFIG!G24)</f>
        <v>0</v>
      </c>
    </row>
    <row r="25" spans="2:8" ht="15.6" x14ac:dyDescent="0.3">
      <c r="B25" s="20"/>
      <c r="E25" s="6"/>
      <c r="G25" s="14" t="s">
        <v>27</v>
      </c>
      <c r="H25" s="14">
        <f>COUNTIF(BOOKS!F:F,CONFIG!G25)</f>
        <v>0</v>
      </c>
    </row>
    <row r="26" spans="2:8" ht="15.6" x14ac:dyDescent="0.3">
      <c r="G26" s="14" t="s">
        <v>28</v>
      </c>
      <c r="H26" s="14">
        <f>COUNTIF(BOOKS!F:F,CONFIG!G26)</f>
        <v>0</v>
      </c>
    </row>
    <row r="27" spans="2:8" ht="15.6" x14ac:dyDescent="0.3">
      <c r="G27" s="14" t="s">
        <v>29</v>
      </c>
      <c r="H27" s="14">
        <f>COUNTIF(BOOKS!F:F,CONFIG!G27)</f>
        <v>0</v>
      </c>
    </row>
  </sheetData>
  <sheetProtection sheet="1" objects="1" scenarios="1" selectLockedCells="1"/>
  <mergeCells count="3">
    <mergeCell ref="B5:C5"/>
    <mergeCell ref="E5:H5"/>
    <mergeCell ref="J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THE FILE</vt:lpstr>
      <vt:lpstr>TASKS</vt:lpstr>
      <vt:lpstr>BOOKS</vt:lpstr>
      <vt:lpstr>PROJECTS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</dc:creator>
  <cp:lastModifiedBy>Luis Mi</cp:lastModifiedBy>
  <dcterms:created xsi:type="dcterms:W3CDTF">2026-06-05T02:19:05Z</dcterms:created>
  <dcterms:modified xsi:type="dcterms:W3CDTF">2026-06-19T01:26:45Z</dcterms:modified>
</cp:coreProperties>
</file>